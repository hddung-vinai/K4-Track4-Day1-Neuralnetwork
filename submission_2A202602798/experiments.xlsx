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INBONCUTE\VINAI\Day 16\K4-Track4-Day1-Neuralnetwork\submission_2A202602798\"/>
    </mc:Choice>
  </mc:AlternateContent>
  <xr:revisionPtr revIDLastSave="0" documentId="11_E19D7B78CB6107C37BFF7CE6D089D02EC8B98C46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Legend" sheetId="1" r:id="rId1"/>
    <sheet name="Experiments" sheetId="2" r:id="rId2"/>
    <sheet name="Seeds" sheetId="3" r:id="rId3"/>
    <sheet name="Summary" sheetId="4" r:id="rId4"/>
  </sheets>
  <definedNames>
    <definedName name="_xlnm._FilterDatabase" localSheetId="1" hidden="1">Experiments!$A$1:$AG$61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F11" i="4" s="1"/>
  <c r="B11" i="4"/>
  <c r="C10" i="4"/>
  <c r="F10" i="4" s="1"/>
  <c r="B10" i="4"/>
  <c r="C9" i="4"/>
  <c r="G9" i="4" s="1"/>
  <c r="B9" i="4"/>
  <c r="C8" i="4"/>
  <c r="E8" i="4" s="1"/>
  <c r="B8" i="4"/>
  <c r="C7" i="4"/>
  <c r="G7" i="4" s="1"/>
  <c r="B7" i="4"/>
  <c r="C6" i="4"/>
  <c r="G6" i="4" s="1"/>
  <c r="B6" i="4"/>
  <c r="C5" i="4"/>
  <c r="E5" i="4" s="1"/>
  <c r="B5" i="4"/>
  <c r="C4" i="4"/>
  <c r="G4" i="4" s="1"/>
  <c r="B4" i="4"/>
  <c r="C3" i="4"/>
  <c r="G3" i="4" s="1"/>
  <c r="B3" i="4"/>
  <c r="C2" i="4"/>
  <c r="D2" i="4" s="1"/>
  <c r="B2" i="4"/>
  <c r="D6" i="3"/>
  <c r="C6" i="3"/>
  <c r="B6" i="3"/>
  <c r="D5" i="3"/>
  <c r="C5" i="3"/>
  <c r="B5" i="3"/>
  <c r="D4" i="3"/>
  <c r="C4" i="3"/>
  <c r="B4" i="3"/>
  <c r="D3" i="3"/>
  <c r="D8" i="3" s="1"/>
  <c r="C3" i="3"/>
  <c r="B3" i="3"/>
  <c r="D2" i="3"/>
  <c r="D9" i="3" s="1"/>
  <c r="D10" i="3" s="1"/>
  <c r="C2" i="3"/>
  <c r="C9" i="3" s="1"/>
  <c r="C10" i="3" s="1"/>
  <c r="B2" i="3"/>
  <c r="B9" i="3" s="1"/>
  <c r="B10" i="3" s="1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E12" i="2"/>
  <c r="AD12" i="2"/>
  <c r="AE11" i="2"/>
  <c r="AD11" i="2"/>
  <c r="AE10" i="2"/>
  <c r="AD10" i="2"/>
  <c r="AE9" i="2"/>
  <c r="AD9" i="2"/>
  <c r="AE8" i="2"/>
  <c r="AD8" i="2"/>
  <c r="AE7" i="2"/>
  <c r="AD7" i="2"/>
  <c r="AE6" i="2"/>
  <c r="AD6" i="2"/>
  <c r="AE5" i="2"/>
  <c r="AD5" i="2"/>
  <c r="AE4" i="2"/>
  <c r="AD4" i="2"/>
  <c r="AE3" i="2"/>
  <c r="AD3" i="2"/>
  <c r="AE2" i="2"/>
  <c r="AD2" i="2"/>
  <c r="D13" i="4" l="1"/>
  <c r="E2" i="4"/>
  <c r="F5" i="4"/>
  <c r="F8" i="4"/>
  <c r="F2" i="4"/>
  <c r="G5" i="4"/>
  <c r="G8" i="4"/>
  <c r="D3" i="4"/>
  <c r="D6" i="4"/>
  <c r="D9" i="4"/>
  <c r="E3" i="4"/>
  <c r="E6" i="4"/>
  <c r="E9" i="4"/>
  <c r="B8" i="3"/>
  <c r="F3" i="4"/>
  <c r="F6" i="4"/>
  <c r="F9" i="4"/>
  <c r="C8" i="3"/>
  <c r="D4" i="4"/>
  <c r="D7" i="4"/>
  <c r="D10" i="4"/>
  <c r="E4" i="4"/>
  <c r="E7" i="4"/>
  <c r="E10" i="4"/>
  <c r="F4" i="4"/>
  <c r="F7" i="4"/>
  <c r="D11" i="4"/>
  <c r="D5" i="4"/>
  <c r="D8" i="4"/>
  <c r="E11" i="4"/>
  <c r="AF59" i="2" l="1"/>
  <c r="AG59" i="2" s="1"/>
  <c r="AF50" i="2"/>
  <c r="AG50" i="2" s="1"/>
  <c r="AF41" i="2"/>
  <c r="AG41" i="2" s="1"/>
  <c r="AF32" i="2"/>
  <c r="AG32" i="2" s="1"/>
  <c r="AF23" i="2"/>
  <c r="AG23" i="2" s="1"/>
  <c r="AF14" i="2"/>
  <c r="AG14" i="2" s="1"/>
  <c r="AF5" i="2"/>
  <c r="AG5" i="2" s="1"/>
  <c r="AF9" i="2"/>
  <c r="AG9" i="2" s="1"/>
  <c r="AF58" i="2"/>
  <c r="AG58" i="2" s="1"/>
  <c r="AF49" i="2"/>
  <c r="AG49" i="2" s="1"/>
  <c r="AF40" i="2"/>
  <c r="AG40" i="2" s="1"/>
  <c r="AF31" i="2"/>
  <c r="AG31" i="2" s="1"/>
  <c r="AF22" i="2"/>
  <c r="AG22" i="2" s="1"/>
  <c r="AF13" i="2"/>
  <c r="AG13" i="2" s="1"/>
  <c r="AF4" i="2"/>
  <c r="AG4" i="2" s="1"/>
  <c r="AF57" i="2"/>
  <c r="AG57" i="2" s="1"/>
  <c r="AF48" i="2"/>
  <c r="AG48" i="2" s="1"/>
  <c r="AF39" i="2"/>
  <c r="AG39" i="2" s="1"/>
  <c r="AF30" i="2"/>
  <c r="AG30" i="2" s="1"/>
  <c r="AF21" i="2"/>
  <c r="AG21" i="2" s="1"/>
  <c r="AF12" i="2"/>
  <c r="AG12" i="2" s="1"/>
  <c r="AF3" i="2"/>
  <c r="AG3" i="2" s="1"/>
  <c r="AF53" i="2"/>
  <c r="AG53" i="2" s="1"/>
  <c r="AF44" i="2"/>
  <c r="AG44" i="2" s="1"/>
  <c r="AF35" i="2"/>
  <c r="AG35" i="2" s="1"/>
  <c r="AF26" i="2"/>
  <c r="AG26" i="2" s="1"/>
  <c r="AF17" i="2"/>
  <c r="AG17" i="2" s="1"/>
  <c r="AF8" i="2"/>
  <c r="AG8" i="2" s="1"/>
  <c r="AF61" i="2"/>
  <c r="AG61" i="2" s="1"/>
  <c r="AF52" i="2"/>
  <c r="AG52" i="2" s="1"/>
  <c r="AF43" i="2"/>
  <c r="AG43" i="2" s="1"/>
  <c r="AF34" i="2"/>
  <c r="AG34" i="2" s="1"/>
  <c r="AF25" i="2"/>
  <c r="AG25" i="2" s="1"/>
  <c r="AF16" i="2"/>
  <c r="AG16" i="2" s="1"/>
  <c r="AF7" i="2"/>
  <c r="AG7" i="2" s="1"/>
  <c r="AF56" i="2"/>
  <c r="AG56" i="2" s="1"/>
  <c r="AF47" i="2"/>
  <c r="AG47" i="2" s="1"/>
  <c r="AF38" i="2"/>
  <c r="AG38" i="2" s="1"/>
  <c r="AF29" i="2"/>
  <c r="AG29" i="2" s="1"/>
  <c r="AF20" i="2"/>
  <c r="AG20" i="2" s="1"/>
  <c r="AF11" i="2"/>
  <c r="AG11" i="2" s="1"/>
  <c r="AF2" i="2"/>
  <c r="AG2" i="2" s="1"/>
  <c r="AF60" i="2"/>
  <c r="AG60" i="2" s="1"/>
  <c r="AF51" i="2"/>
  <c r="AG51" i="2" s="1"/>
  <c r="AF42" i="2"/>
  <c r="AG42" i="2" s="1"/>
  <c r="AF33" i="2"/>
  <c r="AG33" i="2" s="1"/>
  <c r="AF24" i="2"/>
  <c r="AG24" i="2" s="1"/>
  <c r="AF15" i="2"/>
  <c r="AG15" i="2" s="1"/>
  <c r="AF6" i="2"/>
  <c r="AG6" i="2" s="1"/>
  <c r="AF55" i="2"/>
  <c r="AG55" i="2" s="1"/>
  <c r="AF46" i="2"/>
  <c r="AG46" i="2" s="1"/>
  <c r="AF37" i="2"/>
  <c r="AG37" i="2" s="1"/>
  <c r="AF28" i="2"/>
  <c r="AG28" i="2" s="1"/>
  <c r="AF19" i="2"/>
  <c r="AG19" i="2" s="1"/>
  <c r="AF10" i="2"/>
  <c r="AG10" i="2" s="1"/>
  <c r="AF54" i="2"/>
  <c r="AG54" i="2" s="1"/>
  <c r="AF45" i="2"/>
  <c r="AG45" i="2" s="1"/>
  <c r="AF36" i="2"/>
  <c r="AG36" i="2" s="1"/>
  <c r="AF27" i="2"/>
  <c r="AG27" i="2" s="1"/>
  <c r="AF18" i="2"/>
  <c r="AG18" i="2" s="1"/>
</calcChain>
</file>

<file path=xl/sharedStrings.xml><?xml version="1.0" encoding="utf-8"?>
<sst xmlns="http://schemas.openxmlformats.org/spreadsheetml/2006/main" count="711" uniqueCount="304">
  <si>
    <t>Bảng so sánh thí nghiệm — Lab Day 1</t>
  </si>
  <si>
    <t>Lưu file này thành experiments.xlsx. Mỗi lần chạy là một dòng ở sheet Experiments (số dòng tuỳ bạn, có sẵn 60 dòng). Sheet Seeds và Summary tự tổng hợp.</t>
  </si>
  <si>
    <t>Quy ước màu</t>
  </si>
  <si>
    <t xml:space="preserve">   </t>
  </si>
  <si>
    <t>Ô vàng: bạn điền (cấu hình và kết quả đo).</t>
  </si>
  <si>
    <t>abc</t>
  </si>
  <si>
    <t>Chữ xanh dương: giá trị đã điền sẵn cho dòng baseline; bạn có thể sửa.</t>
  </si>
  <si>
    <t>Ô xám: công thức tự tính. Không sửa.</t>
  </si>
  <si>
    <t>Cách dùng</t>
  </si>
  <si>
    <t>1. Sheet Experiments: dòng đầu là baseline mẫu. Điền lr và kết quả; thêm dòng cho mỗi thí nghiệm khác.</t>
  </si>
  <si>
    <t>2. Mỗi dòng phải có ảnh riêng figures/&lt;exp_id&gt;.png. Điền tên file vào cột figure_file.</t>
  </si>
  <si>
    <t>3. Sheet Seeds: nhập exp_id của các lần chạy baseline với seed khác nhau (đã gợi ý base-s1..3). Sheet tự tính trung bình, σ và 2σ.</t>
  </si>
  <si>
    <t>4. Cột beyond_noise cho biết chênh lệch val_macro_f1 so với baseline có vượt 2σ không. Chỉ 'Có' mới là bằng chứng.</t>
  </si>
  <si>
    <t>5. Sheet Summary: số dòng theo nhóm và số chủ đề (trong 7) đã được thử.</t>
  </si>
  <si>
    <t>Từ điển cột (sheet Experiments)</t>
  </si>
  <si>
    <t>Cột</t>
  </si>
  <si>
    <t>Ý nghĩa</t>
  </si>
  <si>
    <t>Cách điền</t>
  </si>
  <si>
    <t>exp_id</t>
  </si>
  <si>
    <t>Mã thí nghiệm, duy nhất; trùng tên file ảnh</t>
  </si>
  <si>
    <t>Tự đặt, ví dụ base-s1, opt-adam-lr1e-3, drop-0.3.</t>
  </si>
  <si>
    <t>group</t>
  </si>
  <si>
    <t>Nhóm: baseline | loss | optimizer | hparam | dropout | clipping | amp | init | final | other</t>
  </si>
  <si>
    <t>Chọn từ danh sách.</t>
  </si>
  <si>
    <t>description</t>
  </si>
  <si>
    <t>Bạn đổi gì so với baseline</t>
  </si>
  <si>
    <t>Một câu.</t>
  </si>
  <si>
    <t>loss</t>
  </si>
  <si>
    <t>Hàm mất mát: CE | MSE</t>
  </si>
  <si>
    <t>optimizer</t>
  </si>
  <si>
    <t>SGD | SGD+momentum | Adam | AdamW</t>
  </si>
  <si>
    <t>lr</t>
  </si>
  <si>
    <t>Tốc độ học η</t>
  </si>
  <si>
    <t>Ghi số, ví dụ 0.05 hoặc 1e-3.</t>
  </si>
  <si>
    <t>weight_decay</t>
  </si>
  <si>
    <t>Hệ số suy giảm trọng số λ</t>
  </si>
  <si>
    <t>0 nếu không dùng.</t>
  </si>
  <si>
    <t>batch</t>
  </si>
  <si>
    <t>Kích thước lô</t>
  </si>
  <si>
    <t>Số nguyên.</t>
  </si>
  <si>
    <t>epochs</t>
  </si>
  <si>
    <t>Số epoch</t>
  </si>
  <si>
    <t>Khuyến nghị 20 cho mọi thí nghiệm.</t>
  </si>
  <si>
    <t>hidden</t>
  </si>
  <si>
    <t>Các lớp ẩn, ví dụ 256-128</t>
  </si>
  <si>
    <t>Chuỗi nối bằng dấu gạch.</t>
  </si>
  <si>
    <t>dropout</t>
  </si>
  <si>
    <t>Xác suất tắt nơ-ron q</t>
  </si>
  <si>
    <t>clip_norm</t>
  </si>
  <si>
    <t>Ngưỡng cắt gradient c</t>
  </si>
  <si>
    <t>'none' nếu không clip, hoặc số.</t>
  </si>
  <si>
    <t>precision</t>
  </si>
  <si>
    <t>fp32 | fp16 | bf16</t>
  </si>
  <si>
    <t>init</t>
  </si>
  <si>
    <t>zeros | normal | xavier | he | default</t>
  </si>
  <si>
    <t>Chọn từ danh sách; 'default' = mặc định của nn.Linear.</t>
  </si>
  <si>
    <t>seed</t>
  </si>
  <si>
    <t>Seed của lần chạy</t>
  </si>
  <si>
    <t>step0_loss</t>
  </si>
  <si>
    <t>Loss trên val ở bước 0 (trước cập nhật đầu tiên)</t>
  </si>
  <si>
    <t>Kỳ vọng ≈ ln 7 = 1.946 nếu khởi tạo hợp lý.</t>
  </si>
  <si>
    <t>best_val_loss</t>
  </si>
  <si>
    <t>Val loss thấp nhất qua các epoch</t>
  </si>
  <si>
    <t>best_epoch</t>
  </si>
  <si>
    <t>Epoch đạt best_val_loss</t>
  </si>
  <si>
    <t>Đếm từ 1.</t>
  </si>
  <si>
    <t>final_train_loss</t>
  </si>
  <si>
    <t>Train loss ở epoch cuối (đo ở chế độ eval)</t>
  </si>
  <si>
    <t>final_val_loss</t>
  </si>
  <si>
    <t>Val loss ở epoch cuối</t>
  </si>
  <si>
    <t>val_acc</t>
  </si>
  <si>
    <t>Val accuracy ở best_epoch</t>
  </si>
  <si>
    <t>Phân số 0–1, ví dụ 0.8123.</t>
  </si>
  <si>
    <t>val_macro_f1</t>
  </si>
  <si>
    <t>Val macro-F1 ở best_epoch</t>
  </si>
  <si>
    <t>Phân số 0–1.</t>
  </si>
  <si>
    <t>time_per_epoch_s</t>
  </si>
  <si>
    <t>Thời gian trung bình mỗi epoch (giây)</t>
  </si>
  <si>
    <t>Có torch.cuda.synchronize().</t>
  </si>
  <si>
    <t>peak_mem_MB</t>
  </si>
  <si>
    <t>Bộ nhớ GPU cực đại (MB)</t>
  </si>
  <si>
    <t>torch.cuda.max_memory_allocated()/2**20.</t>
  </si>
  <si>
    <t>diverged</t>
  </si>
  <si>
    <t>Loss thành NaN/inf? Y | N</t>
  </si>
  <si>
    <t>eval_acc</t>
  </si>
  <si>
    <t>Accuracy trên tập eval</t>
  </si>
  <si>
    <t>CHỈ điền cho baseline và cấu hình cuối cùng, lấy từ eval_result.json.</t>
  </si>
  <si>
    <t>eval_macro_f1</t>
  </si>
  <si>
    <t>macro-F1 trên tập eval</t>
  </si>
  <si>
    <t>figure_file</t>
  </si>
  <si>
    <t>Tên file ảnh</t>
  </si>
  <si>
    <t>figures/&lt;exp_id&gt;.png</t>
  </si>
  <si>
    <t>notes</t>
  </si>
  <si>
    <t>Ghi chú</t>
  </si>
  <si>
    <t>Dự đoán trước, quan sát, lý do thiếu số liệu, lỗi gặp phải...</t>
  </si>
  <si>
    <t>step0_gap_vs_lnC</t>
  </si>
  <si>
    <t>step0_loss − ln 7</t>
  </si>
  <si>
    <t>Tự tính. Gần 0 là tốt.</t>
  </si>
  <si>
    <t>gap_val_minus_train</t>
  </si>
  <si>
    <t>final_val_loss − final_train_loss</t>
  </si>
  <si>
    <t>Tự tính. Khoảng cách quá khớp.</t>
  </si>
  <si>
    <t>delta_val_f1_vs_base</t>
  </si>
  <si>
    <t>val_macro_f1 − trung bình baseline</t>
  </si>
  <si>
    <t>Tự tính từ sheet Seeds.</t>
  </si>
  <si>
    <t>beyond_noise</t>
  </si>
  <si>
    <t>|delta| &gt; 2σ_seed ?</t>
  </si>
  <si>
    <t>Tự tính: Có / Không. Cần ≥ 2 seed baseline trong sheet Seeds.</t>
  </si>
  <si>
    <t>Ví dụ một dòng điền xong (SỐ MINH HOẠ ĐỊNH DẠNG, KHÔNG PHẢI KẾT QUẢ THẬT — đừng sao chép)</t>
  </si>
  <si>
    <t>opt-adam-lr1e-3</t>
  </si>
  <si>
    <t>Adam</t>
  </si>
  <si>
    <t>N</t>
  </si>
  <si>
    <t>figures/opt-adam-lr1e-3.png</t>
  </si>
  <si>
    <t>ln 7 = 1.9459 (loss bước 0 kỳ vọng với 7 lớp). Ngưỡng nhiễu = 2 × độ lệch chuẩn của các seed baseline.</t>
  </si>
  <si>
    <t>base-s1</t>
  </si>
  <si>
    <t>baseline</t>
  </si>
  <si>
    <t>Baseline M-base (SGD+momentum lr=0.3), seed 1</t>
  </si>
  <si>
    <t>CE</t>
  </si>
  <si>
    <t>SGD+momentum</t>
  </si>
  <si>
    <t>256-128</t>
  </si>
  <si>
    <t>none</t>
  </si>
  <si>
    <t>fp32</t>
  </si>
  <si>
    <t>he</t>
  </si>
  <si>
    <t>figures/base-s1.png</t>
  </si>
  <si>
    <t>base-s2</t>
  </si>
  <si>
    <t>Baseline M-base (SGD+momentum lr=0.3), seed 2</t>
  </si>
  <si>
    <t>figures/base-s2.png</t>
  </si>
  <si>
    <t>base-s3</t>
  </si>
  <si>
    <t>Baseline M-base (SGD+momentum lr=0.3), seed 3</t>
  </si>
  <si>
    <t>figures/base-s3.png</t>
  </si>
  <si>
    <t>loss-mse</t>
  </si>
  <si>
    <t>MSE trên one-hot thay cho CE (cùng lr baseline)</t>
  </si>
  <si>
    <t>MSE</t>
  </si>
  <si>
    <t>figures/loss-mse.png</t>
  </si>
  <si>
    <t>MSE = nn.MSELoss(mean) giữa logit và one-hot, trung bình trên B*7 phần tử, không có hệ số 1/2</t>
  </si>
  <si>
    <t>loss-mse-lr3x</t>
  </si>
  <si>
    <t>MSE, lr = 3 x baseline = 0.9</t>
  </si>
  <si>
    <t>figures/loss-mse-lr3x.png</t>
  </si>
  <si>
    <t>đổi 2 yếu tố có chủ đích (loss + lr): gradient MSE nhỏ hơn CE nên thử bù bằng lr</t>
  </si>
  <si>
    <t>opt-sgdm-lr0.01</t>
  </si>
  <si>
    <t>SGD+momentum 0.9, lr=0.01 (dò lr baseline)</t>
  </si>
  <si>
    <t>figures/opt-sgdm-lr0.01.png</t>
  </si>
  <si>
    <t>dò lr baseline trên val; dòng có lr được chọn trùng cấu hình base-s1</t>
  </si>
  <si>
    <t>opt-sgdm-lr0.03</t>
  </si>
  <si>
    <t>SGD+momentum 0.9, lr=0.03 (dò lr baseline)</t>
  </si>
  <si>
    <t>figures/opt-sgdm-lr0.03.png</t>
  </si>
  <si>
    <t>opt-sgdm-lr0.1</t>
  </si>
  <si>
    <t>SGD+momentum 0.9, lr=0.1 (dò lr baseline)</t>
  </si>
  <si>
    <t>figures/opt-sgdm-lr0.1.png</t>
  </si>
  <si>
    <t>opt-sgdm-lr0.3</t>
  </si>
  <si>
    <t>SGD+momentum 0.9, lr=0.3 (dò lr baseline)</t>
  </si>
  <si>
    <t>figures/opt-sgdm-lr0.3.png</t>
  </si>
  <si>
    <t>opt-sgd-lr0.1</t>
  </si>
  <si>
    <t>sgd lr=0.1, weight_decay=0</t>
  </si>
  <si>
    <t>SGD</t>
  </si>
  <si>
    <t>figures/opt-sgd-lr0.1.png</t>
  </si>
  <si>
    <t>opt-sgd-lr0.3</t>
  </si>
  <si>
    <t>sgd lr=0.3, weight_decay=0</t>
  </si>
  <si>
    <t>figures/opt-sgd-lr0.3.png</t>
  </si>
  <si>
    <t>opt-sgd-lr1</t>
  </si>
  <si>
    <t>sgd lr=1, weight_decay=0</t>
  </si>
  <si>
    <t>figures/opt-sgd-lr1.png</t>
  </si>
  <si>
    <t>opt-adam-lr0.0003</t>
  </si>
  <si>
    <t>adam lr=0.0003, weight_decay=0</t>
  </si>
  <si>
    <t>figures/opt-adam-lr0.0003.png</t>
  </si>
  <si>
    <t>opt-adam-lr0.001</t>
  </si>
  <si>
    <t>adam lr=0.001, weight_decay=0</t>
  </si>
  <si>
    <t>figures/opt-adam-lr0.001.png</t>
  </si>
  <si>
    <t>opt-adam-lr0.003</t>
  </si>
  <si>
    <t>adam lr=0.003, weight_decay=0</t>
  </si>
  <si>
    <t>figures/opt-adam-lr0.003.png</t>
  </si>
  <si>
    <t>opt-adamw-lr0.001</t>
  </si>
  <si>
    <t>adamw lr=0.001, weight_decay=0.01</t>
  </si>
  <si>
    <t>AdamW</t>
  </si>
  <si>
    <t>figures/opt-adamw-lr0.001.png</t>
  </si>
  <si>
    <t>opt-adamw-lr0.003</t>
  </si>
  <si>
    <t>adamw lr=0.003, weight_decay=0.01</t>
  </si>
  <si>
    <t>figures/opt-adamw-lr0.003.png</t>
  </si>
  <si>
    <t>opt-adamw-wd0-lr0.001</t>
  </si>
  <si>
    <t>AdamW wd=0, lr=1e-3 (kiểm chứng: phải trùng Adam lr=1e-3)</t>
  </si>
  <si>
    <t>figures/opt-adamw-wd0-lr0.001.png</t>
  </si>
  <si>
    <t>hp-bs128</t>
  </si>
  <si>
    <t>hparam</t>
  </si>
  <si>
    <t>batch 128, giữ lr (gấp 4 số bước/epoch)</t>
  </si>
  <si>
    <t>figures/hp-bs128.png</t>
  </si>
  <si>
    <t>hp-bs2048</t>
  </si>
  <si>
    <t>batch 2048, giữ lr (1/4 số bước/epoch)</t>
  </si>
  <si>
    <t>figures/hp-bs2048.png</t>
  </si>
  <si>
    <t>hp-bs2048-lr4x</t>
  </si>
  <si>
    <t>batch 2048 + lr x4 = 1.2 (quy tắc tuyến tính, không warmup)</t>
  </si>
  <si>
    <t>figures/hp-bs2048-lr4x.png</t>
  </si>
  <si>
    <t>đổi 2 yếu tố có chủ đích (batch + lr) để thử quy tắc tăng lr theo lô</t>
  </si>
  <si>
    <t>hp-wide</t>
  </si>
  <si>
    <t>M-wide 54-512-256-7 (161 287 tham số)</t>
  </si>
  <si>
    <t>512-256</t>
  </si>
  <si>
    <t>figures/hp-wide.png</t>
  </si>
  <si>
    <t>hp-deep</t>
  </si>
  <si>
    <t>M-deep 54-256-128-64-7 (55 687 tham số)</t>
  </si>
  <si>
    <t>256-128-64</t>
  </si>
  <si>
    <t>figures/hp-deep.png</t>
  </si>
  <si>
    <t>hp-wd5e-4</t>
  </si>
  <si>
    <t>weight decay 5e-4 (L2 trong SGD+momentum)</t>
  </si>
  <si>
    <t>figures/hp-wd5e-4.png</t>
  </si>
  <si>
    <t>drop-0.1</t>
  </si>
  <si>
    <t>dropout q=0.1 sau mỗi ReLU ẩn</t>
  </si>
  <si>
    <t>figures/drop-0.1.png</t>
  </si>
  <si>
    <t>drop-0.3</t>
  </si>
  <si>
    <t>dropout q=0.3 sau mỗi ReLU ẩn</t>
  </si>
  <si>
    <t>figures/drop-0.3.png</t>
  </si>
  <si>
    <t>drop-0.5</t>
  </si>
  <si>
    <t>dropout q=0.5 sau mỗi ReLU ẩn</t>
  </si>
  <si>
    <t>figures/drop-0.5.png</t>
  </si>
  <si>
    <t>clip-c0.35</t>
  </si>
  <si>
    <t>clipping</t>
  </si>
  <si>
    <t>clip c=0.35 (≈ trung vị grad_norm của baseline), lr baseline</t>
  </si>
  <si>
    <t>figures/clip-c0.35.png</t>
  </si>
  <si>
    <t>clip-lr10x-noclip</t>
  </si>
  <si>
    <t>lr = 10 x baseline = 3, không clip</t>
  </si>
  <si>
    <t>figures/clip-lr10x-noclip.png</t>
  </si>
  <si>
    <t>phản chứng: chỉ đổi lr so với baseline</t>
  </si>
  <si>
    <t>clip-lr10x-c0.35</t>
  </si>
  <si>
    <t>lr = 10 x baseline = 3, clip c=0.35</t>
  </si>
  <si>
    <t>figures/clip-lr10x-c0.35.png</t>
  </si>
  <si>
    <t>đổi 2 yếu tố (lr + clip) so với baseline; so với dòng noclip cùng lr</t>
  </si>
  <si>
    <t>clip-lr30x-noclip</t>
  </si>
  <si>
    <t>lr = 30 x baseline = 9, không clip</t>
  </si>
  <si>
    <t>figures/clip-lr30x-noclip.png</t>
  </si>
  <si>
    <t>clip-lr30x-c0.35</t>
  </si>
  <si>
    <t>lr = 30 x baseline = 9, clip c=0.35</t>
  </si>
  <si>
    <t>figures/clip-lr30x-c0.35.png</t>
  </si>
  <si>
    <t>amp-fp16</t>
  </si>
  <si>
    <t>amp</t>
  </si>
  <si>
    <t>mixed precision fp16 (autocast + GradScaler)</t>
  </si>
  <si>
    <t>fp16</t>
  </si>
  <si>
    <t>figures/amp-fp16.png</t>
  </si>
  <si>
    <t>thiết bị: Tesla T4</t>
  </si>
  <si>
    <t>amp-bf16</t>
  </si>
  <si>
    <t>mixed precision bf16 (autocast, không GradScaler)</t>
  </si>
  <si>
    <t>bf16</t>
  </si>
  <si>
    <t>figures/amp-bf16.png</t>
  </si>
  <si>
    <t>amp-fp16-wide</t>
  </si>
  <si>
    <t>M-wide + fp16 (so với hp-wide fp32)</t>
  </si>
  <si>
    <t>figures/amp-fp16-wide.png</t>
  </si>
  <si>
    <t>đổi 2 yếu tố so với baseline; so sánh với hp-wide; thiết bị: Tesla T4</t>
  </si>
  <si>
    <t>init-zeros</t>
  </si>
  <si>
    <t>khởi tạo W = 0, bias = 0</t>
  </si>
  <si>
    <t>zeros</t>
  </si>
  <si>
    <t>figures/init-zeros.png</t>
  </si>
  <si>
    <t>init-normal</t>
  </si>
  <si>
    <t>khởi tạo W ~ N(0, 0.01^2), bias = 0</t>
  </si>
  <si>
    <t>normal</t>
  </si>
  <si>
    <t>figures/init-normal.png</t>
  </si>
  <si>
    <t>init-xavier</t>
  </si>
  <si>
    <t>khởi tạo xavier_normal_ (Var = 2/(n_in+n_out)), bias = 0</t>
  </si>
  <si>
    <t>xavier</t>
  </si>
  <si>
    <t>figures/init-xavier.png</t>
  </si>
  <si>
    <t>init-default</t>
  </si>
  <si>
    <t>khởi tạo mặc định nn.Linear (Kaiming-uniform a=sqrt5), KHÔNG phải He</t>
  </si>
  <si>
    <t>default</t>
  </si>
  <si>
    <t>figures/init-default.png</t>
  </si>
  <si>
    <t>fin-wide-e40-s1</t>
  </si>
  <si>
    <t>final</t>
  </si>
  <si>
    <t>M-wide + adam lr=0.003, 40 epoch</t>
  </si>
  <si>
    <t>figures/fin-wide-e40-s1.png</t>
  </si>
  <si>
    <t>ứng viên cấu hình cuối (kết hợp nhiều yếu tố); chọn bằng val</t>
  </si>
  <si>
    <t>fin-deep-e40-s1</t>
  </si>
  <si>
    <t>M-deep + adam lr=0.003, 40 epoch</t>
  </si>
  <si>
    <t>figures/fin-deep-e40-s1.png</t>
  </si>
  <si>
    <t>fin-wide-cos-e40-s1</t>
  </si>
  <si>
    <t>M-wide + adam lr=0.003 + cosine lr, 40 epoch</t>
  </si>
  <si>
    <t>figures/fin-wide-cos-e40-s1.png</t>
  </si>
  <si>
    <t>scheduler=cosine | ứng viên cấu hình cuối (kết hợp nhiều yếu tố); chọn bằng val</t>
  </si>
  <si>
    <t>fin-wide-cos-e40-s2</t>
  </si>
  <si>
    <t>M-wide + adam lr=0.003 + cosine lr, 40 epoch (seed 2)</t>
  </si>
  <si>
    <t>figures/fin-wide-cos-e40-s2.png</t>
  </si>
  <si>
    <t>scheduler=cosine | đo nhiễu seed của cấu hình cuối; không dùng để nộp</t>
  </si>
  <si>
    <t>fin-wide-cos-e40-s3</t>
  </si>
  <si>
    <t>M-wide + adam lr=0.003 + cosine lr, 40 epoch (seed 3)</t>
  </si>
  <si>
    <t>figures/fin-wide-cos-e40-s3.png</t>
  </si>
  <si>
    <t>exp_id baseline (nhập)</t>
  </si>
  <si>
    <t>mean</t>
  </si>
  <si>
    <t>std (mẫu)</t>
  </si>
  <si>
    <t>2σ (ngưỡng nhiễu)</t>
  </si>
  <si>
    <t>Nhập exp_id của các lần chạy baseline (khác seed) ở cột A. Cần ≥ 2 seed để có σ.</t>
  </si>
  <si>
    <t>Mọi chênh lệch nhỏ hơn 2σ không được coi là bằng chứng. Với ít seed, σ chỉ là ước lượng thô; nêu rõ trong báo cáo.</t>
  </si>
  <si>
    <t>số dòng</t>
  </si>
  <si>
    <t>đã điền val_macro_f1</t>
  </si>
  <si>
    <t>val_macro_f1 cao nhất</t>
  </si>
  <si>
    <t>val_macro_f1 thấp nhất</t>
  </si>
  <si>
    <t>val_acc cao nhất</t>
  </si>
  <si>
    <t>đã thử chủ đề này?</t>
  </si>
  <si>
    <t>nhận xét ngắn (bạn viết)</t>
  </si>
  <si>
    <t>—</t>
  </si>
  <si>
    <t>3 seed: val macro-F1 0.8607 ± 0.0030 (2σ = 0.0060); eval macro-F1 base-s1 = 0.8565</t>
  </si>
  <si>
    <t>2 lần chạy; tốt nhất theo val: loss-mse (macro-F1 0.7726, chênh -0.0881 so với TB baseline, vượt 2σ=0.0060)</t>
  </si>
  <si>
    <t>13 lần chạy; tốt nhất theo val: opt-adam-lr0.003 (macro-F1 0.8677, chênh +0.0070 so với TB baseline, vượt 2σ=0.0060)</t>
  </si>
  <si>
    <t>6 lần chạy; tốt nhất theo val: hp-wide (macro-F1 0.8747, chênh +0.0140 so với TB baseline, vượt 2σ=0.0060)</t>
  </si>
  <si>
    <t>3 lần chạy; tốt nhất theo val: drop-0.1 (macro-F1 0.8385, chênh -0.0222 so với TB baseline, vượt 2σ=0.0060)</t>
  </si>
  <si>
    <t>5 lần chạy; tốt nhất theo val: clip-c0.35 (macro-F1 0.8581, chênh -0.0026 so với TB baseline, KHÔNG vượt 2σ=0.0060)</t>
  </si>
  <si>
    <t>3 lần chạy; tốt nhất theo val: amp-fp16-wide (macro-F1 0.8745, chênh +0.0138 so với TB baseline, vượt 2σ=0.0060)</t>
  </si>
  <si>
    <t>4 lần chạy; tốt nhất theo val: init-default (macro-F1 0.8637, chênh +0.0029 so với TB baseline, KHÔNG vượt 2σ=0.0060)</t>
  </si>
  <si>
    <t>5 lần chạy; tốt nhất theo val: fin-wide-cos-e40-s3 (macro-F1 0.9272, chênh +0.0665 so với TB baseline, vượt 2σ=0.0060); cấu hình nộp fin-wide-cos-e40-s1: eval macro-F1 = 0.9294</t>
  </si>
  <si>
    <t>other</t>
  </si>
  <si>
    <t>Số chủ đề (trong 7) đã thử:</t>
  </si>
  <si>
    <t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</si>
</sst>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1" xfId="0" applyFont="1" applyBorder="1"/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center" vertical="center" wrapText="1"/>
    </xf>
    <xf numFmtId="0" fontId="2" fillId="0" borderId="1" xfId="0" applyFont="1" applyBorder="1"/>
    <xf numFmtId="0" fontId="4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zoomScaleNormal="100" workbookViewId="0"/>
  </sheetViews>
  <sheetFormatPr defaultColWidth="8.6640625" defaultRowHeight="14.25" x14ac:dyDescent="0.45"/>
  <cols>
    <col min="1" max="1" width="24" customWidth="1"/>
    <col min="2" max="2" width="60" customWidth="1"/>
    <col min="3" max="3" width="52" customWidth="1"/>
    <col min="4" max="12" width="14" customWidth="1"/>
  </cols>
  <sheetData>
    <row r="1" spans="1:2" ht="17.350000000000001" customHeight="1" x14ac:dyDescent="0.5">
      <c r="A1" s="1" t="s">
        <v>0</v>
      </c>
    </row>
    <row r="2" spans="1:2" ht="15" customHeight="1" x14ac:dyDescent="0.45">
      <c r="A2" s="2" t="s">
        <v>1</v>
      </c>
    </row>
    <row r="4" spans="1:2" ht="15" customHeight="1" x14ac:dyDescent="0.45">
      <c r="A4" s="3" t="s">
        <v>2</v>
      </c>
    </row>
    <row r="5" spans="1:2" ht="15" customHeight="1" x14ac:dyDescent="0.45">
      <c r="A5" s="4" t="s">
        <v>3</v>
      </c>
      <c r="B5" s="2" t="s">
        <v>4</v>
      </c>
    </row>
    <row r="6" spans="1:2" ht="15" customHeight="1" x14ac:dyDescent="0.45">
      <c r="A6" s="5" t="s">
        <v>5</v>
      </c>
      <c r="B6" s="2" t="s">
        <v>6</v>
      </c>
    </row>
    <row r="7" spans="1:2" ht="15" customHeight="1" x14ac:dyDescent="0.45">
      <c r="A7" s="6" t="s">
        <v>3</v>
      </c>
      <c r="B7" s="2" t="s">
        <v>7</v>
      </c>
    </row>
    <row r="9" spans="1:2" ht="15" customHeight="1" x14ac:dyDescent="0.45">
      <c r="A9" s="3" t="s">
        <v>8</v>
      </c>
    </row>
    <row r="10" spans="1:2" ht="15" customHeight="1" x14ac:dyDescent="0.45">
      <c r="A10" s="2" t="s">
        <v>9</v>
      </c>
    </row>
    <row r="11" spans="1:2" ht="15" customHeight="1" x14ac:dyDescent="0.45">
      <c r="A11" s="2" t="s">
        <v>10</v>
      </c>
    </row>
    <row r="12" spans="1:2" ht="15" customHeight="1" x14ac:dyDescent="0.45">
      <c r="A12" s="2" t="s">
        <v>11</v>
      </c>
    </row>
    <row r="13" spans="1:2" ht="15" customHeight="1" x14ac:dyDescent="0.45">
      <c r="A13" s="2" t="s">
        <v>12</v>
      </c>
    </row>
    <row r="14" spans="1:2" ht="15" customHeight="1" x14ac:dyDescent="0.45">
      <c r="A14" s="2" t="s">
        <v>13</v>
      </c>
    </row>
    <row r="16" spans="1:2" ht="15" customHeight="1" x14ac:dyDescent="0.45">
      <c r="A16" s="3" t="s">
        <v>14</v>
      </c>
    </row>
    <row r="17" spans="1:3" ht="15" customHeight="1" x14ac:dyDescent="0.45">
      <c r="A17" s="7" t="s">
        <v>15</v>
      </c>
      <c r="B17" s="7" t="s">
        <v>16</v>
      </c>
      <c r="C17" s="7" t="s">
        <v>17</v>
      </c>
    </row>
    <row r="18" spans="1:3" ht="15" customHeight="1" x14ac:dyDescent="0.45">
      <c r="A18" s="8" t="s">
        <v>18</v>
      </c>
      <c r="B18" s="9" t="s">
        <v>19</v>
      </c>
      <c r="C18" s="9" t="s">
        <v>20</v>
      </c>
    </row>
    <row r="19" spans="1:3" ht="23.85" customHeight="1" x14ac:dyDescent="0.45">
      <c r="A19" s="8" t="s">
        <v>21</v>
      </c>
      <c r="B19" s="9" t="s">
        <v>22</v>
      </c>
      <c r="C19" s="9" t="s">
        <v>23</v>
      </c>
    </row>
    <row r="20" spans="1:3" ht="15" customHeight="1" x14ac:dyDescent="0.45">
      <c r="A20" s="8" t="s">
        <v>24</v>
      </c>
      <c r="B20" s="9" t="s">
        <v>25</v>
      </c>
      <c r="C20" s="9" t="s">
        <v>26</v>
      </c>
    </row>
    <row r="21" spans="1:3" ht="15" customHeight="1" x14ac:dyDescent="0.45">
      <c r="A21" s="8" t="s">
        <v>27</v>
      </c>
      <c r="B21" s="9" t="s">
        <v>28</v>
      </c>
      <c r="C21" s="9" t="s">
        <v>23</v>
      </c>
    </row>
    <row r="22" spans="1:3" ht="15" customHeight="1" x14ac:dyDescent="0.45">
      <c r="A22" s="8" t="s">
        <v>29</v>
      </c>
      <c r="B22" s="9" t="s">
        <v>30</v>
      </c>
      <c r="C22" s="9" t="s">
        <v>23</v>
      </c>
    </row>
    <row r="23" spans="1:3" ht="15" customHeight="1" x14ac:dyDescent="0.45">
      <c r="A23" s="8" t="s">
        <v>31</v>
      </c>
      <c r="B23" s="9" t="s">
        <v>32</v>
      </c>
      <c r="C23" s="9" t="s">
        <v>33</v>
      </c>
    </row>
    <row r="24" spans="1:3" ht="15" customHeight="1" x14ac:dyDescent="0.45">
      <c r="A24" s="8" t="s">
        <v>34</v>
      </c>
      <c r="B24" s="9" t="s">
        <v>35</v>
      </c>
      <c r="C24" s="9" t="s">
        <v>36</v>
      </c>
    </row>
    <row r="25" spans="1:3" ht="15" customHeight="1" x14ac:dyDescent="0.45">
      <c r="A25" s="8" t="s">
        <v>37</v>
      </c>
      <c r="B25" s="9" t="s">
        <v>38</v>
      </c>
      <c r="C25" s="9" t="s">
        <v>39</v>
      </c>
    </row>
    <row r="26" spans="1:3" ht="15" customHeight="1" x14ac:dyDescent="0.45">
      <c r="A26" s="8" t="s">
        <v>40</v>
      </c>
      <c r="B26" s="9" t="s">
        <v>41</v>
      </c>
      <c r="C26" s="9" t="s">
        <v>42</v>
      </c>
    </row>
    <row r="27" spans="1:3" ht="15" customHeight="1" x14ac:dyDescent="0.45">
      <c r="A27" s="8" t="s">
        <v>43</v>
      </c>
      <c r="B27" s="9" t="s">
        <v>44</v>
      </c>
      <c r="C27" s="9" t="s">
        <v>45</v>
      </c>
    </row>
    <row r="28" spans="1:3" ht="15" customHeight="1" x14ac:dyDescent="0.45">
      <c r="A28" s="8" t="s">
        <v>46</v>
      </c>
      <c r="B28" s="9" t="s">
        <v>47</v>
      </c>
      <c r="C28" s="9" t="s">
        <v>36</v>
      </c>
    </row>
    <row r="29" spans="1:3" ht="15" customHeight="1" x14ac:dyDescent="0.45">
      <c r="A29" s="8" t="s">
        <v>48</v>
      </c>
      <c r="B29" s="9" t="s">
        <v>49</v>
      </c>
      <c r="C29" s="9" t="s">
        <v>50</v>
      </c>
    </row>
    <row r="30" spans="1:3" ht="15" customHeight="1" x14ac:dyDescent="0.45">
      <c r="A30" s="8" t="s">
        <v>51</v>
      </c>
      <c r="B30" s="9" t="s">
        <v>52</v>
      </c>
      <c r="C30" s="9" t="s">
        <v>23</v>
      </c>
    </row>
    <row r="31" spans="1:3" ht="15" customHeight="1" x14ac:dyDescent="0.45">
      <c r="A31" s="8" t="s">
        <v>53</v>
      </c>
      <c r="B31" s="9" t="s">
        <v>54</v>
      </c>
      <c r="C31" s="9" t="s">
        <v>55</v>
      </c>
    </row>
    <row r="32" spans="1:3" ht="15" customHeight="1" x14ac:dyDescent="0.45">
      <c r="A32" s="8" t="s">
        <v>56</v>
      </c>
      <c r="B32" s="9" t="s">
        <v>57</v>
      </c>
      <c r="C32" s="9" t="s">
        <v>39</v>
      </c>
    </row>
    <row r="33" spans="1:3" ht="15" customHeight="1" x14ac:dyDescent="0.45">
      <c r="A33" s="8" t="s">
        <v>58</v>
      </c>
      <c r="B33" s="9" t="s">
        <v>59</v>
      </c>
      <c r="C33" s="9" t="s">
        <v>60</v>
      </c>
    </row>
    <row r="34" spans="1:3" ht="15" customHeight="1" x14ac:dyDescent="0.45">
      <c r="A34" s="8" t="s">
        <v>61</v>
      </c>
      <c r="B34" s="9" t="s">
        <v>62</v>
      </c>
      <c r="C34" s="9"/>
    </row>
    <row r="35" spans="1:3" ht="15" customHeight="1" x14ac:dyDescent="0.45">
      <c r="A35" s="8" t="s">
        <v>63</v>
      </c>
      <c r="B35" s="9" t="s">
        <v>64</v>
      </c>
      <c r="C35" s="9" t="s">
        <v>65</v>
      </c>
    </row>
    <row r="36" spans="1:3" ht="15" customHeight="1" x14ac:dyDescent="0.45">
      <c r="A36" s="8" t="s">
        <v>66</v>
      </c>
      <c r="B36" s="9" t="s">
        <v>67</v>
      </c>
      <c r="C36" s="9"/>
    </row>
    <row r="37" spans="1:3" ht="15" customHeight="1" x14ac:dyDescent="0.45">
      <c r="A37" s="8" t="s">
        <v>68</v>
      </c>
      <c r="B37" s="9" t="s">
        <v>69</v>
      </c>
      <c r="C37" s="9"/>
    </row>
    <row r="38" spans="1:3" ht="15" customHeight="1" x14ac:dyDescent="0.45">
      <c r="A38" s="8" t="s">
        <v>70</v>
      </c>
      <c r="B38" s="9" t="s">
        <v>71</v>
      </c>
      <c r="C38" s="9" t="s">
        <v>72</v>
      </c>
    </row>
    <row r="39" spans="1:3" ht="15" customHeight="1" x14ac:dyDescent="0.45">
      <c r="A39" s="8" t="s">
        <v>73</v>
      </c>
      <c r="B39" s="9" t="s">
        <v>74</v>
      </c>
      <c r="C39" s="9" t="s">
        <v>75</v>
      </c>
    </row>
    <row r="40" spans="1:3" ht="15" customHeight="1" x14ac:dyDescent="0.45">
      <c r="A40" s="8" t="s">
        <v>76</v>
      </c>
      <c r="B40" s="9" t="s">
        <v>77</v>
      </c>
      <c r="C40" s="9" t="s">
        <v>78</v>
      </c>
    </row>
    <row r="41" spans="1:3" ht="15" customHeight="1" x14ac:dyDescent="0.45">
      <c r="A41" s="8" t="s">
        <v>79</v>
      </c>
      <c r="B41" s="9" t="s">
        <v>80</v>
      </c>
      <c r="C41" s="9" t="s">
        <v>81</v>
      </c>
    </row>
    <row r="42" spans="1:3" ht="15" customHeight="1" x14ac:dyDescent="0.45">
      <c r="A42" s="8" t="s">
        <v>82</v>
      </c>
      <c r="B42" s="9" t="s">
        <v>83</v>
      </c>
      <c r="C42" s="9" t="s">
        <v>23</v>
      </c>
    </row>
    <row r="43" spans="1:3" ht="23.85" customHeight="1" x14ac:dyDescent="0.45">
      <c r="A43" s="8" t="s">
        <v>84</v>
      </c>
      <c r="B43" s="9" t="s">
        <v>85</v>
      </c>
      <c r="C43" s="9" t="s">
        <v>86</v>
      </c>
    </row>
    <row r="44" spans="1:3" ht="23.85" customHeight="1" x14ac:dyDescent="0.45">
      <c r="A44" s="8" t="s">
        <v>87</v>
      </c>
      <c r="B44" s="9" t="s">
        <v>88</v>
      </c>
      <c r="C44" s="9" t="s">
        <v>86</v>
      </c>
    </row>
    <row r="45" spans="1:3" ht="15" customHeight="1" x14ac:dyDescent="0.45">
      <c r="A45" s="8" t="s">
        <v>89</v>
      </c>
      <c r="B45" s="9" t="s">
        <v>90</v>
      </c>
      <c r="C45" s="9" t="s">
        <v>91</v>
      </c>
    </row>
    <row r="46" spans="1:3" ht="15" customHeight="1" x14ac:dyDescent="0.45">
      <c r="A46" s="8" t="s">
        <v>92</v>
      </c>
      <c r="B46" s="9" t="s">
        <v>93</v>
      </c>
      <c r="C46" s="9" t="s">
        <v>94</v>
      </c>
    </row>
    <row r="47" spans="1:3" ht="15" customHeight="1" x14ac:dyDescent="0.45">
      <c r="A47" s="8" t="s">
        <v>95</v>
      </c>
      <c r="B47" s="9" t="s">
        <v>96</v>
      </c>
      <c r="C47" s="9" t="s">
        <v>97</v>
      </c>
    </row>
    <row r="48" spans="1:3" ht="15" customHeight="1" x14ac:dyDescent="0.45">
      <c r="A48" s="8" t="s">
        <v>98</v>
      </c>
      <c r="B48" s="9" t="s">
        <v>99</v>
      </c>
      <c r="C48" s="9" t="s">
        <v>100</v>
      </c>
    </row>
    <row r="49" spans="1:12" ht="15" customHeight="1" x14ac:dyDescent="0.45">
      <c r="A49" s="8" t="s">
        <v>101</v>
      </c>
      <c r="B49" s="9" t="s">
        <v>102</v>
      </c>
      <c r="C49" s="9" t="s">
        <v>103</v>
      </c>
    </row>
    <row r="50" spans="1:12" ht="15" customHeight="1" x14ac:dyDescent="0.45">
      <c r="A50" s="8" t="s">
        <v>104</v>
      </c>
      <c r="B50" s="9" t="s">
        <v>105</v>
      </c>
      <c r="C50" s="9" t="s">
        <v>106</v>
      </c>
    </row>
    <row r="52" spans="1:12" ht="15" customHeight="1" x14ac:dyDescent="0.45">
      <c r="A52" s="3" t="s">
        <v>107</v>
      </c>
    </row>
    <row r="53" spans="1:12" ht="23.85" customHeight="1" x14ac:dyDescent="0.45">
      <c r="A53" s="10" t="s">
        <v>18</v>
      </c>
      <c r="B53" s="10" t="s">
        <v>21</v>
      </c>
      <c r="C53" s="10" t="s">
        <v>29</v>
      </c>
      <c r="D53" s="10" t="s">
        <v>31</v>
      </c>
      <c r="E53" s="10" t="s">
        <v>58</v>
      </c>
      <c r="F53" s="10" t="s">
        <v>61</v>
      </c>
      <c r="G53" s="10" t="s">
        <v>63</v>
      </c>
      <c r="H53" s="10" t="s">
        <v>70</v>
      </c>
      <c r="I53" s="10" t="s">
        <v>73</v>
      </c>
      <c r="J53" s="10" t="s">
        <v>76</v>
      </c>
      <c r="K53" s="10" t="s">
        <v>82</v>
      </c>
      <c r="L53" s="10" t="s">
        <v>89</v>
      </c>
    </row>
    <row r="54" spans="1:12" ht="15" customHeight="1" x14ac:dyDescent="0.45">
      <c r="A54" s="11" t="s">
        <v>108</v>
      </c>
      <c r="B54" s="11" t="s">
        <v>29</v>
      </c>
      <c r="C54" s="11" t="s">
        <v>109</v>
      </c>
      <c r="D54" s="11">
        <v>1E-3</v>
      </c>
      <c r="E54" s="11">
        <v>1.95</v>
      </c>
      <c r="F54" s="11">
        <v>0.6</v>
      </c>
      <c r="G54" s="11">
        <v>18</v>
      </c>
      <c r="H54" s="11">
        <v>0.75</v>
      </c>
      <c r="I54" s="11">
        <v>0.65</v>
      </c>
      <c r="J54" s="11">
        <v>2.1</v>
      </c>
      <c r="K54" s="11" t="s">
        <v>110</v>
      </c>
      <c r="L54" s="11" t="s">
        <v>111</v>
      </c>
    </row>
    <row r="56" spans="1:12" ht="15" customHeight="1" x14ac:dyDescent="0.45">
      <c r="A56" s="2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16" customWidth="1"/>
    <col min="2" max="2" width="11" customWidth="1"/>
    <col min="3" max="3" width="34" customWidth="1"/>
    <col min="4" max="4" width="8" customWidth="1"/>
    <col min="5" max="5" width="15" customWidth="1"/>
    <col min="6" max="7" width="9" customWidth="1"/>
    <col min="8" max="9" width="7" customWidth="1"/>
    <col min="10" max="10" width="12" customWidth="1"/>
    <col min="11" max="11" width="8" customWidth="1"/>
    <col min="12" max="12" width="9" customWidth="1"/>
    <col min="13" max="13" width="10" customWidth="1"/>
    <col min="14" max="14" width="9" customWidth="1"/>
    <col min="15" max="15" width="6" customWidth="1"/>
    <col min="16" max="17" width="10" customWidth="1"/>
    <col min="18" max="18" width="8" customWidth="1"/>
    <col min="19" max="20" width="10" customWidth="1"/>
    <col min="21" max="22" width="9" customWidth="1"/>
    <col min="23" max="23" width="10" customWidth="1"/>
    <col min="24" max="27" width="9" customWidth="1"/>
    <col min="28" max="28" width="22" customWidth="1"/>
    <col min="29" max="29" width="36" customWidth="1"/>
    <col min="30" max="32" width="10" customWidth="1"/>
    <col min="33" max="33" width="9" customWidth="1"/>
  </cols>
  <sheetData>
    <row r="1" spans="1:33" ht="42" customHeight="1" x14ac:dyDescent="0.45">
      <c r="A1" s="7" t="s">
        <v>18</v>
      </c>
      <c r="B1" s="7" t="s">
        <v>21</v>
      </c>
      <c r="C1" s="7" t="s">
        <v>24</v>
      </c>
      <c r="D1" s="7" t="s">
        <v>27</v>
      </c>
      <c r="E1" s="7" t="s">
        <v>29</v>
      </c>
      <c r="F1" s="7" t="s">
        <v>31</v>
      </c>
      <c r="G1" s="7" t="s">
        <v>34</v>
      </c>
      <c r="H1" s="7" t="s">
        <v>37</v>
      </c>
      <c r="I1" s="7" t="s">
        <v>40</v>
      </c>
      <c r="J1" s="7" t="s">
        <v>43</v>
      </c>
      <c r="K1" s="7" t="s">
        <v>46</v>
      </c>
      <c r="L1" s="7" t="s">
        <v>48</v>
      </c>
      <c r="M1" s="7" t="s">
        <v>51</v>
      </c>
      <c r="N1" s="7" t="s">
        <v>53</v>
      </c>
      <c r="O1" s="7" t="s">
        <v>56</v>
      </c>
      <c r="P1" s="7" t="s">
        <v>58</v>
      </c>
      <c r="Q1" s="7" t="s">
        <v>61</v>
      </c>
      <c r="R1" s="7" t="s">
        <v>63</v>
      </c>
      <c r="S1" s="7" t="s">
        <v>66</v>
      </c>
      <c r="T1" s="7" t="s">
        <v>68</v>
      </c>
      <c r="U1" s="7" t="s">
        <v>70</v>
      </c>
      <c r="V1" s="7" t="s">
        <v>73</v>
      </c>
      <c r="W1" s="7" t="s">
        <v>76</v>
      </c>
      <c r="X1" s="7" t="s">
        <v>79</v>
      </c>
      <c r="Y1" s="7" t="s">
        <v>82</v>
      </c>
      <c r="Z1" s="7" t="s">
        <v>84</v>
      </c>
      <c r="AA1" s="7" t="s">
        <v>87</v>
      </c>
      <c r="AB1" s="7" t="s">
        <v>89</v>
      </c>
      <c r="AC1" s="7" t="s">
        <v>92</v>
      </c>
      <c r="AD1" s="7" t="s">
        <v>95</v>
      </c>
      <c r="AE1" s="7" t="s">
        <v>98</v>
      </c>
      <c r="AF1" s="7" t="s">
        <v>101</v>
      </c>
      <c r="AG1" s="7" t="s">
        <v>104</v>
      </c>
    </row>
    <row r="2" spans="1:33" ht="15" customHeight="1" x14ac:dyDescent="0.45">
      <c r="A2" s="12" t="s">
        <v>113</v>
      </c>
      <c r="B2" s="12" t="s">
        <v>114</v>
      </c>
      <c r="C2" s="12" t="s">
        <v>115</v>
      </c>
      <c r="D2" s="12" t="s">
        <v>116</v>
      </c>
      <c r="E2" s="12" t="s">
        <v>117</v>
      </c>
      <c r="F2" s="13">
        <v>0.3</v>
      </c>
      <c r="G2" s="12">
        <v>0</v>
      </c>
      <c r="H2" s="12">
        <v>512</v>
      </c>
      <c r="I2" s="12">
        <v>20</v>
      </c>
      <c r="J2" s="12" t="s">
        <v>118</v>
      </c>
      <c r="K2" s="12">
        <v>0</v>
      </c>
      <c r="L2" s="12" t="s">
        <v>119</v>
      </c>
      <c r="M2" s="12" t="s">
        <v>120</v>
      </c>
      <c r="N2" s="12" t="s">
        <v>121</v>
      </c>
      <c r="O2" s="12">
        <v>1</v>
      </c>
      <c r="P2" s="14">
        <v>2.2690999999999999</v>
      </c>
      <c r="Q2" s="14">
        <v>0.23180000000000001</v>
      </c>
      <c r="R2" s="13">
        <v>19</v>
      </c>
      <c r="S2" s="14">
        <v>0.20569999999999999</v>
      </c>
      <c r="T2" s="14">
        <v>0.2339</v>
      </c>
      <c r="U2" s="14">
        <v>0.90900000000000003</v>
      </c>
      <c r="V2" s="14">
        <v>0.85729999999999995</v>
      </c>
      <c r="W2" s="13">
        <v>1.2549999999999999</v>
      </c>
      <c r="X2" s="13">
        <v>28.8</v>
      </c>
      <c r="Y2" s="13" t="s">
        <v>110</v>
      </c>
      <c r="Z2" s="14">
        <v>0.90890000000000004</v>
      </c>
      <c r="AA2" s="14">
        <v>0.85650000000000004</v>
      </c>
      <c r="AB2" s="13" t="s">
        <v>122</v>
      </c>
      <c r="AC2" s="13"/>
      <c r="AD2" s="15">
        <f t="shared" ref="AD2:AD33" si="0">IF(P2="","",P2-LN(7))</f>
        <v>0.32318985094468666</v>
      </c>
      <c r="AE2" s="15">
        <f t="shared" ref="AE2:AE33" si="1">IF(OR(T2="",S2=""),"",T2-S2)</f>
        <v>2.8200000000000003E-2</v>
      </c>
      <c r="AF2" s="15">
        <f>IF(OR(V2="",Seeds!$C$8=""),"",V2-Seeds!$C$8)</f>
        <v>-3.4000000000000696E-3</v>
      </c>
      <c r="AG2" s="15" t="str">
        <f>IF(OR(AF2="",Seeds!$C$10=""),"",IF(ABS(AF2)&gt;Seeds!$C$10,"Có","Không"))</f>
        <v>Không</v>
      </c>
    </row>
    <row r="3" spans="1:33" ht="15" customHeight="1" x14ac:dyDescent="0.45">
      <c r="A3" s="13" t="s">
        <v>123</v>
      </c>
      <c r="B3" s="13" t="s">
        <v>114</v>
      </c>
      <c r="C3" s="13" t="s">
        <v>124</v>
      </c>
      <c r="D3" s="13" t="s">
        <v>116</v>
      </c>
      <c r="E3" s="13" t="s">
        <v>117</v>
      </c>
      <c r="F3" s="13">
        <v>0.3</v>
      </c>
      <c r="G3" s="13">
        <v>0</v>
      </c>
      <c r="H3" s="13">
        <v>512</v>
      </c>
      <c r="I3" s="13">
        <v>20</v>
      </c>
      <c r="J3" s="13" t="s">
        <v>118</v>
      </c>
      <c r="K3" s="13">
        <v>0</v>
      </c>
      <c r="L3" s="13" t="s">
        <v>119</v>
      </c>
      <c r="M3" s="13" t="s">
        <v>120</v>
      </c>
      <c r="N3" s="13" t="s">
        <v>121</v>
      </c>
      <c r="O3" s="13">
        <v>2</v>
      </c>
      <c r="P3" s="14">
        <v>1.9782</v>
      </c>
      <c r="Q3" s="14">
        <v>0.2145</v>
      </c>
      <c r="R3" s="13">
        <v>16</v>
      </c>
      <c r="S3" s="14">
        <v>0.19639999999999999</v>
      </c>
      <c r="T3" s="14">
        <v>0.22509999999999999</v>
      </c>
      <c r="U3" s="14">
        <v>0.91439999999999999</v>
      </c>
      <c r="V3" s="14">
        <v>0.86180000000000001</v>
      </c>
      <c r="W3" s="13">
        <v>1.2749999999999999</v>
      </c>
      <c r="X3" s="13">
        <v>28.8</v>
      </c>
      <c r="Y3" s="13" t="s">
        <v>110</v>
      </c>
      <c r="Z3" s="14"/>
      <c r="AA3" s="14"/>
      <c r="AB3" s="13" t="s">
        <v>125</v>
      </c>
      <c r="AC3" s="13"/>
      <c r="AD3" s="15">
        <f t="shared" si="0"/>
        <v>3.2289850944686727E-2</v>
      </c>
      <c r="AE3" s="15">
        <f t="shared" si="1"/>
        <v>2.8700000000000003E-2</v>
      </c>
      <c r="AF3" s="15">
        <f>IF(OR(V3="",Seeds!$C$8=""),"",V3-Seeds!$C$8)</f>
        <v>1.0999999999999899E-3</v>
      </c>
      <c r="AG3" s="15" t="str">
        <f>IF(OR(AF3="",Seeds!$C$10=""),"",IF(ABS(AF3)&gt;Seeds!$C$10,"Có","Không"))</f>
        <v>Không</v>
      </c>
    </row>
    <row r="4" spans="1:33" ht="15" customHeight="1" x14ac:dyDescent="0.45">
      <c r="A4" s="13" t="s">
        <v>126</v>
      </c>
      <c r="B4" s="13" t="s">
        <v>114</v>
      </c>
      <c r="C4" s="13" t="s">
        <v>127</v>
      </c>
      <c r="D4" s="13" t="s">
        <v>116</v>
      </c>
      <c r="E4" s="13" t="s">
        <v>117</v>
      </c>
      <c r="F4" s="13">
        <v>0.3</v>
      </c>
      <c r="G4" s="13">
        <v>0</v>
      </c>
      <c r="H4" s="13">
        <v>512</v>
      </c>
      <c r="I4" s="13">
        <v>20</v>
      </c>
      <c r="J4" s="13" t="s">
        <v>118</v>
      </c>
      <c r="K4" s="13">
        <v>0</v>
      </c>
      <c r="L4" s="13" t="s">
        <v>119</v>
      </c>
      <c r="M4" s="13" t="s">
        <v>120</v>
      </c>
      <c r="N4" s="13" t="s">
        <v>121</v>
      </c>
      <c r="O4" s="13">
        <v>3</v>
      </c>
      <c r="P4" s="14">
        <v>1.9005000000000001</v>
      </c>
      <c r="Q4" s="14">
        <v>0.2208</v>
      </c>
      <c r="R4" s="13">
        <v>18</v>
      </c>
      <c r="S4" s="14">
        <v>0.2087</v>
      </c>
      <c r="T4" s="14">
        <v>0.23369999999999999</v>
      </c>
      <c r="U4" s="14">
        <v>0.91210000000000002</v>
      </c>
      <c r="V4" s="14">
        <v>0.86299999999999999</v>
      </c>
      <c r="W4" s="13">
        <v>1.2589999999999999</v>
      </c>
      <c r="X4" s="13">
        <v>28.8</v>
      </c>
      <c r="Y4" s="13" t="s">
        <v>110</v>
      </c>
      <c r="Z4" s="14"/>
      <c r="AA4" s="14"/>
      <c r="AB4" s="13" t="s">
        <v>128</v>
      </c>
      <c r="AC4" s="13"/>
      <c r="AD4" s="15">
        <f t="shared" si="0"/>
        <v>-4.5410149055313154E-2</v>
      </c>
      <c r="AE4" s="15">
        <f t="shared" si="1"/>
        <v>2.4999999999999994E-2</v>
      </c>
      <c r="AF4" s="15">
        <f>IF(OR(V4="",Seeds!$C$8=""),"",V4-Seeds!$C$8)</f>
        <v>2.2999999999999687E-3</v>
      </c>
      <c r="AG4" s="15" t="str">
        <f>IF(OR(AF4="",Seeds!$C$10=""),"",IF(ABS(AF4)&gt;Seeds!$C$10,"Có","Không"))</f>
        <v>Không</v>
      </c>
    </row>
    <row r="5" spans="1:33" ht="15" customHeight="1" x14ac:dyDescent="0.45">
      <c r="A5" s="13" t="s">
        <v>129</v>
      </c>
      <c r="B5" s="13" t="s">
        <v>27</v>
      </c>
      <c r="C5" s="13" t="s">
        <v>130</v>
      </c>
      <c r="D5" s="13" t="s">
        <v>131</v>
      </c>
      <c r="E5" s="13" t="s">
        <v>117</v>
      </c>
      <c r="F5" s="13">
        <v>0.3</v>
      </c>
      <c r="G5" s="13">
        <v>0</v>
      </c>
      <c r="H5" s="13">
        <v>512</v>
      </c>
      <c r="I5" s="13">
        <v>20</v>
      </c>
      <c r="J5" s="13" t="s">
        <v>118</v>
      </c>
      <c r="K5" s="13">
        <v>0</v>
      </c>
      <c r="L5" s="13" t="s">
        <v>119</v>
      </c>
      <c r="M5" s="13" t="s">
        <v>120</v>
      </c>
      <c r="N5" s="13" t="s">
        <v>121</v>
      </c>
      <c r="O5" s="13">
        <v>1</v>
      </c>
      <c r="P5" s="14">
        <v>0.63590000000000002</v>
      </c>
      <c r="Q5" s="14">
        <v>2.7400000000000001E-2</v>
      </c>
      <c r="R5" s="13">
        <v>20</v>
      </c>
      <c r="S5" s="14">
        <v>2.64E-2</v>
      </c>
      <c r="T5" s="14">
        <v>2.7400000000000001E-2</v>
      </c>
      <c r="U5" s="14">
        <v>0.88029999999999997</v>
      </c>
      <c r="V5" s="14">
        <v>0.77259999999999995</v>
      </c>
      <c r="W5" s="13">
        <v>1.3260000000000001</v>
      </c>
      <c r="X5" s="13">
        <v>28.8</v>
      </c>
      <c r="Y5" s="13" t="s">
        <v>110</v>
      </c>
      <c r="Z5" s="14"/>
      <c r="AA5" s="14"/>
      <c r="AB5" s="13" t="s">
        <v>132</v>
      </c>
      <c r="AC5" s="13" t="s">
        <v>133</v>
      </c>
      <c r="AD5" s="15">
        <f t="shared" si="0"/>
        <v>-1.3100101490553131</v>
      </c>
      <c r="AE5" s="15">
        <f t="shared" si="1"/>
        <v>1.0000000000000009E-3</v>
      </c>
      <c r="AF5" s="15">
        <f>IF(OR(V5="",Seeds!$C$8=""),"",V5-Seeds!$C$8)</f>
        <v>-8.8100000000000067E-2</v>
      </c>
      <c r="AG5" s="15" t="str">
        <f>IF(OR(AF5="",Seeds!$C$10=""),"",IF(ABS(AF5)&gt;Seeds!$C$10,"Có","Không"))</f>
        <v>Có</v>
      </c>
    </row>
    <row r="6" spans="1:33" ht="15" customHeight="1" x14ac:dyDescent="0.45">
      <c r="A6" s="13" t="s">
        <v>134</v>
      </c>
      <c r="B6" s="13" t="s">
        <v>27</v>
      </c>
      <c r="C6" s="13" t="s">
        <v>135</v>
      </c>
      <c r="D6" s="13" t="s">
        <v>131</v>
      </c>
      <c r="E6" s="13" t="s">
        <v>117</v>
      </c>
      <c r="F6" s="13">
        <v>0.89999999999999991</v>
      </c>
      <c r="G6" s="13">
        <v>0</v>
      </c>
      <c r="H6" s="13">
        <v>512</v>
      </c>
      <c r="I6" s="13">
        <v>20</v>
      </c>
      <c r="J6" s="13" t="s">
        <v>118</v>
      </c>
      <c r="K6" s="13">
        <v>0</v>
      </c>
      <c r="L6" s="13" t="s">
        <v>119</v>
      </c>
      <c r="M6" s="13" t="s">
        <v>120</v>
      </c>
      <c r="N6" s="13" t="s">
        <v>121</v>
      </c>
      <c r="O6" s="13">
        <v>1</v>
      </c>
      <c r="P6" s="14">
        <v>0.63590000000000002</v>
      </c>
      <c r="Q6" s="14">
        <v>3.2599999999999997E-2</v>
      </c>
      <c r="R6" s="13">
        <v>19</v>
      </c>
      <c r="S6" s="14">
        <v>3.6600000000000001E-2</v>
      </c>
      <c r="T6" s="14">
        <v>3.6999999999999998E-2</v>
      </c>
      <c r="U6" s="14">
        <v>0.85840000000000005</v>
      </c>
      <c r="V6" s="14">
        <v>0.74850000000000005</v>
      </c>
      <c r="W6" s="13">
        <v>1.373</v>
      </c>
      <c r="X6" s="13">
        <v>28.8</v>
      </c>
      <c r="Y6" s="13" t="s">
        <v>110</v>
      </c>
      <c r="Z6" s="14"/>
      <c r="AA6" s="14"/>
      <c r="AB6" s="13" t="s">
        <v>136</v>
      </c>
      <c r="AC6" s="13" t="s">
        <v>137</v>
      </c>
      <c r="AD6" s="15">
        <f t="shared" si="0"/>
        <v>-1.3100101490553131</v>
      </c>
      <c r="AE6" s="15">
        <f t="shared" si="1"/>
        <v>3.9999999999999758E-4</v>
      </c>
      <c r="AF6" s="15">
        <f>IF(OR(V6="",Seeds!$C$8=""),"",V6-Seeds!$C$8)</f>
        <v>-0.11219999999999997</v>
      </c>
      <c r="AG6" s="15" t="str">
        <f>IF(OR(AF6="",Seeds!$C$10=""),"",IF(ABS(AF6)&gt;Seeds!$C$10,"Có","Không"))</f>
        <v>Có</v>
      </c>
    </row>
    <row r="7" spans="1:33" ht="15" customHeight="1" x14ac:dyDescent="0.45">
      <c r="A7" s="13" t="s">
        <v>138</v>
      </c>
      <c r="B7" s="13" t="s">
        <v>29</v>
      </c>
      <c r="C7" s="13" t="s">
        <v>139</v>
      </c>
      <c r="D7" s="13" t="s">
        <v>116</v>
      </c>
      <c r="E7" s="13" t="s">
        <v>117</v>
      </c>
      <c r="F7" s="13">
        <v>0.01</v>
      </c>
      <c r="G7" s="13">
        <v>0</v>
      </c>
      <c r="H7" s="13">
        <v>512</v>
      </c>
      <c r="I7" s="13">
        <v>20</v>
      </c>
      <c r="J7" s="13" t="s">
        <v>118</v>
      </c>
      <c r="K7" s="13">
        <v>0</v>
      </c>
      <c r="L7" s="13" t="s">
        <v>119</v>
      </c>
      <c r="M7" s="13" t="s">
        <v>120</v>
      </c>
      <c r="N7" s="13" t="s">
        <v>121</v>
      </c>
      <c r="O7" s="13">
        <v>1</v>
      </c>
      <c r="P7" s="14">
        <v>2.2690999999999999</v>
      </c>
      <c r="Q7" s="14">
        <v>0.311</v>
      </c>
      <c r="R7" s="13">
        <v>20</v>
      </c>
      <c r="S7" s="14">
        <v>0.2994</v>
      </c>
      <c r="T7" s="14">
        <v>0.311</v>
      </c>
      <c r="U7" s="14">
        <v>0.87470000000000003</v>
      </c>
      <c r="V7" s="14">
        <v>0.76129999999999998</v>
      </c>
      <c r="W7" s="13">
        <v>1.272</v>
      </c>
      <c r="X7" s="13">
        <v>28.8</v>
      </c>
      <c r="Y7" s="13" t="s">
        <v>110</v>
      </c>
      <c r="Z7" s="14"/>
      <c r="AA7" s="14"/>
      <c r="AB7" s="13" t="s">
        <v>140</v>
      </c>
      <c r="AC7" s="13" t="s">
        <v>141</v>
      </c>
      <c r="AD7" s="15">
        <f t="shared" si="0"/>
        <v>0.32318985094468666</v>
      </c>
      <c r="AE7" s="15">
        <f t="shared" si="1"/>
        <v>1.1599999999999999E-2</v>
      </c>
      <c r="AF7" s="15">
        <f>IF(OR(V7="",Seeds!$C$8=""),"",V7-Seeds!$C$8)</f>
        <v>-9.9400000000000044E-2</v>
      </c>
      <c r="AG7" s="15" t="str">
        <f>IF(OR(AF7="",Seeds!$C$10=""),"",IF(ABS(AF7)&gt;Seeds!$C$10,"Có","Không"))</f>
        <v>Có</v>
      </c>
    </row>
    <row r="8" spans="1:33" ht="15" customHeight="1" x14ac:dyDescent="0.45">
      <c r="A8" s="13" t="s">
        <v>142</v>
      </c>
      <c r="B8" s="13" t="s">
        <v>29</v>
      </c>
      <c r="C8" s="13" t="s">
        <v>143</v>
      </c>
      <c r="D8" s="13" t="s">
        <v>116</v>
      </c>
      <c r="E8" s="13" t="s">
        <v>117</v>
      </c>
      <c r="F8" s="13">
        <v>0.03</v>
      </c>
      <c r="G8" s="13">
        <v>0</v>
      </c>
      <c r="H8" s="13">
        <v>512</v>
      </c>
      <c r="I8" s="13">
        <v>20</v>
      </c>
      <c r="J8" s="13" t="s">
        <v>118</v>
      </c>
      <c r="K8" s="13">
        <v>0</v>
      </c>
      <c r="L8" s="13" t="s">
        <v>119</v>
      </c>
      <c r="M8" s="13" t="s">
        <v>120</v>
      </c>
      <c r="N8" s="13" t="s">
        <v>121</v>
      </c>
      <c r="O8" s="13">
        <v>1</v>
      </c>
      <c r="P8" s="14">
        <v>2.2690999999999999</v>
      </c>
      <c r="Q8" s="14">
        <v>0.26600000000000001</v>
      </c>
      <c r="R8" s="13">
        <v>20</v>
      </c>
      <c r="S8" s="14">
        <v>0.24729999999999999</v>
      </c>
      <c r="T8" s="14">
        <v>0.26600000000000001</v>
      </c>
      <c r="U8" s="14">
        <v>0.8921</v>
      </c>
      <c r="V8" s="14">
        <v>0.81699999999999995</v>
      </c>
      <c r="W8" s="13">
        <v>1.2789999999999999</v>
      </c>
      <c r="X8" s="13">
        <v>28.8</v>
      </c>
      <c r="Y8" s="13" t="s">
        <v>110</v>
      </c>
      <c r="Z8" s="14"/>
      <c r="AA8" s="14"/>
      <c r="AB8" s="13" t="s">
        <v>144</v>
      </c>
      <c r="AC8" s="13" t="s">
        <v>141</v>
      </c>
      <c r="AD8" s="15">
        <f t="shared" si="0"/>
        <v>0.32318985094468666</v>
      </c>
      <c r="AE8" s="15">
        <f t="shared" si="1"/>
        <v>1.8700000000000022E-2</v>
      </c>
      <c r="AF8" s="15">
        <f>IF(OR(V8="",Seeds!$C$8=""),"",V8-Seeds!$C$8)</f>
        <v>-4.3700000000000072E-2</v>
      </c>
      <c r="AG8" s="15" t="str">
        <f>IF(OR(AF8="",Seeds!$C$10=""),"",IF(ABS(AF8)&gt;Seeds!$C$10,"Có","Không"))</f>
        <v>Có</v>
      </c>
    </row>
    <row r="9" spans="1:33" ht="15" customHeight="1" x14ac:dyDescent="0.45">
      <c r="A9" s="13" t="s">
        <v>145</v>
      </c>
      <c r="B9" s="13" t="s">
        <v>29</v>
      </c>
      <c r="C9" s="13" t="s">
        <v>146</v>
      </c>
      <c r="D9" s="13" t="s">
        <v>116</v>
      </c>
      <c r="E9" s="13" t="s">
        <v>117</v>
      </c>
      <c r="F9" s="13">
        <v>0.1</v>
      </c>
      <c r="G9" s="13">
        <v>0</v>
      </c>
      <c r="H9" s="13">
        <v>512</v>
      </c>
      <c r="I9" s="13">
        <v>20</v>
      </c>
      <c r="J9" s="13" t="s">
        <v>118</v>
      </c>
      <c r="K9" s="13">
        <v>0</v>
      </c>
      <c r="L9" s="13" t="s">
        <v>119</v>
      </c>
      <c r="M9" s="13" t="s">
        <v>120</v>
      </c>
      <c r="N9" s="13" t="s">
        <v>121</v>
      </c>
      <c r="O9" s="13">
        <v>1</v>
      </c>
      <c r="P9" s="14">
        <v>2.2690999999999999</v>
      </c>
      <c r="Q9" s="14">
        <v>0.2379</v>
      </c>
      <c r="R9" s="13">
        <v>18</v>
      </c>
      <c r="S9" s="14">
        <v>0.2218</v>
      </c>
      <c r="T9" s="14">
        <v>0.24260000000000001</v>
      </c>
      <c r="U9" s="14">
        <v>0.90539999999999998</v>
      </c>
      <c r="V9" s="14">
        <v>0.83899999999999997</v>
      </c>
      <c r="W9" s="13">
        <v>1.268</v>
      </c>
      <c r="X9" s="13">
        <v>28.8</v>
      </c>
      <c r="Y9" s="13" t="s">
        <v>110</v>
      </c>
      <c r="Z9" s="14"/>
      <c r="AA9" s="14"/>
      <c r="AB9" s="13" t="s">
        <v>147</v>
      </c>
      <c r="AC9" s="13" t="s">
        <v>141</v>
      </c>
      <c r="AD9" s="15">
        <f t="shared" si="0"/>
        <v>0.32318985094468666</v>
      </c>
      <c r="AE9" s="15">
        <f t="shared" si="1"/>
        <v>2.0800000000000013E-2</v>
      </c>
      <c r="AF9" s="15">
        <f>IF(OR(V9="",Seeds!$C$8=""),"",V9-Seeds!$C$8)</f>
        <v>-2.1700000000000053E-2</v>
      </c>
      <c r="AG9" s="15" t="str">
        <f>IF(OR(AF9="",Seeds!$C$10=""),"",IF(ABS(AF9)&gt;Seeds!$C$10,"Có","Không"))</f>
        <v>Có</v>
      </c>
    </row>
    <row r="10" spans="1:33" ht="15" customHeight="1" x14ac:dyDescent="0.45">
      <c r="A10" s="13" t="s">
        <v>148</v>
      </c>
      <c r="B10" s="13" t="s">
        <v>29</v>
      </c>
      <c r="C10" s="13" t="s">
        <v>149</v>
      </c>
      <c r="D10" s="13" t="s">
        <v>116</v>
      </c>
      <c r="E10" s="13" t="s">
        <v>117</v>
      </c>
      <c r="F10" s="13">
        <v>0.3</v>
      </c>
      <c r="G10" s="13">
        <v>0</v>
      </c>
      <c r="H10" s="13">
        <v>512</v>
      </c>
      <c r="I10" s="13">
        <v>20</v>
      </c>
      <c r="J10" s="13" t="s">
        <v>118</v>
      </c>
      <c r="K10" s="13">
        <v>0</v>
      </c>
      <c r="L10" s="13" t="s">
        <v>119</v>
      </c>
      <c r="M10" s="13" t="s">
        <v>120</v>
      </c>
      <c r="N10" s="13" t="s">
        <v>121</v>
      </c>
      <c r="O10" s="13">
        <v>1</v>
      </c>
      <c r="P10" s="14">
        <v>2.2690999999999999</v>
      </c>
      <c r="Q10" s="14">
        <v>0.23180000000000001</v>
      </c>
      <c r="R10" s="13">
        <v>19</v>
      </c>
      <c r="S10" s="14">
        <v>0.20569999999999999</v>
      </c>
      <c r="T10" s="14">
        <v>0.2339</v>
      </c>
      <c r="U10" s="14">
        <v>0.90900000000000003</v>
      </c>
      <c r="V10" s="14">
        <v>0.85729999999999995</v>
      </c>
      <c r="W10" s="13">
        <v>1.3009999999999999</v>
      </c>
      <c r="X10" s="13">
        <v>28.8</v>
      </c>
      <c r="Y10" s="13" t="s">
        <v>110</v>
      </c>
      <c r="Z10" s="14"/>
      <c r="AA10" s="14"/>
      <c r="AB10" s="13" t="s">
        <v>150</v>
      </c>
      <c r="AC10" s="13" t="s">
        <v>141</v>
      </c>
      <c r="AD10" s="15">
        <f t="shared" si="0"/>
        <v>0.32318985094468666</v>
      </c>
      <c r="AE10" s="15">
        <f t="shared" si="1"/>
        <v>2.8200000000000003E-2</v>
      </c>
      <c r="AF10" s="15">
        <f>IF(OR(V10="",Seeds!$C$8=""),"",V10-Seeds!$C$8)</f>
        <v>-3.4000000000000696E-3</v>
      </c>
      <c r="AG10" s="15" t="str">
        <f>IF(OR(AF10="",Seeds!$C$10=""),"",IF(ABS(AF10)&gt;Seeds!$C$10,"Có","Không"))</f>
        <v>Không</v>
      </c>
    </row>
    <row r="11" spans="1:33" ht="15" customHeight="1" x14ac:dyDescent="0.45">
      <c r="A11" s="13" t="s">
        <v>151</v>
      </c>
      <c r="B11" s="13" t="s">
        <v>29</v>
      </c>
      <c r="C11" s="13" t="s">
        <v>152</v>
      </c>
      <c r="D11" s="13" t="s">
        <v>116</v>
      </c>
      <c r="E11" s="13" t="s">
        <v>153</v>
      </c>
      <c r="F11" s="13">
        <v>0.1</v>
      </c>
      <c r="G11" s="13">
        <v>0</v>
      </c>
      <c r="H11" s="13">
        <v>512</v>
      </c>
      <c r="I11" s="13">
        <v>20</v>
      </c>
      <c r="J11" s="13" t="s">
        <v>118</v>
      </c>
      <c r="K11" s="13">
        <v>0</v>
      </c>
      <c r="L11" s="13" t="s">
        <v>119</v>
      </c>
      <c r="M11" s="13" t="s">
        <v>120</v>
      </c>
      <c r="N11" s="13" t="s">
        <v>121</v>
      </c>
      <c r="O11" s="13">
        <v>1</v>
      </c>
      <c r="P11" s="14">
        <v>2.2690999999999999</v>
      </c>
      <c r="Q11" s="14">
        <v>0.34749999999999998</v>
      </c>
      <c r="R11" s="13">
        <v>18</v>
      </c>
      <c r="S11" s="14">
        <v>0.43340000000000001</v>
      </c>
      <c r="T11" s="14">
        <v>0.44369999999999998</v>
      </c>
      <c r="U11" s="14">
        <v>0.85799999999999998</v>
      </c>
      <c r="V11" s="14">
        <v>0.75509999999999999</v>
      </c>
      <c r="W11" s="13">
        <v>1.2270000000000001</v>
      </c>
      <c r="X11" s="13">
        <v>28.7</v>
      </c>
      <c r="Y11" s="13" t="s">
        <v>110</v>
      </c>
      <c r="Z11" s="14"/>
      <c r="AA11" s="14"/>
      <c r="AB11" s="13" t="s">
        <v>154</v>
      </c>
      <c r="AC11" s="13"/>
      <c r="AD11" s="15">
        <f t="shared" si="0"/>
        <v>0.32318985094468666</v>
      </c>
      <c r="AE11" s="15">
        <f t="shared" si="1"/>
        <v>1.0299999999999976E-2</v>
      </c>
      <c r="AF11" s="15">
        <f>IF(OR(V11="",Seeds!$C$8=""),"",V11-Seeds!$C$8)</f>
        <v>-0.10560000000000003</v>
      </c>
      <c r="AG11" s="15" t="str">
        <f>IF(OR(AF11="",Seeds!$C$10=""),"",IF(ABS(AF11)&gt;Seeds!$C$10,"Có","Không"))</f>
        <v>Có</v>
      </c>
    </row>
    <row r="12" spans="1:33" ht="15" customHeight="1" x14ac:dyDescent="0.45">
      <c r="A12" s="13" t="s">
        <v>155</v>
      </c>
      <c r="B12" s="13" t="s">
        <v>29</v>
      </c>
      <c r="C12" s="13" t="s">
        <v>156</v>
      </c>
      <c r="D12" s="13" t="s">
        <v>116</v>
      </c>
      <c r="E12" s="13" t="s">
        <v>153</v>
      </c>
      <c r="F12" s="13">
        <v>0.3</v>
      </c>
      <c r="G12" s="13">
        <v>0</v>
      </c>
      <c r="H12" s="13">
        <v>512</v>
      </c>
      <c r="I12" s="13">
        <v>20</v>
      </c>
      <c r="J12" s="13" t="s">
        <v>118</v>
      </c>
      <c r="K12" s="13">
        <v>0</v>
      </c>
      <c r="L12" s="13" t="s">
        <v>119</v>
      </c>
      <c r="M12" s="13" t="s">
        <v>120</v>
      </c>
      <c r="N12" s="13" t="s">
        <v>121</v>
      </c>
      <c r="O12" s="13">
        <v>1</v>
      </c>
      <c r="P12" s="14">
        <v>2.2690999999999999</v>
      </c>
      <c r="Q12" s="14">
        <v>0.28029999999999999</v>
      </c>
      <c r="R12" s="13">
        <v>18</v>
      </c>
      <c r="S12" s="14">
        <v>0.3196</v>
      </c>
      <c r="T12" s="14">
        <v>0.3327</v>
      </c>
      <c r="U12" s="14">
        <v>0.8871</v>
      </c>
      <c r="V12" s="14">
        <v>0.81630000000000003</v>
      </c>
      <c r="W12" s="13">
        <v>1.2250000000000001</v>
      </c>
      <c r="X12" s="13">
        <v>28.7</v>
      </c>
      <c r="Y12" s="13" t="s">
        <v>110</v>
      </c>
      <c r="Z12" s="14"/>
      <c r="AA12" s="14"/>
      <c r="AB12" s="13" t="s">
        <v>157</v>
      </c>
      <c r="AC12" s="13"/>
      <c r="AD12" s="15">
        <f t="shared" si="0"/>
        <v>0.32318985094468666</v>
      </c>
      <c r="AE12" s="15">
        <f t="shared" si="1"/>
        <v>1.3100000000000001E-2</v>
      </c>
      <c r="AF12" s="15">
        <f>IF(OR(V12="",Seeds!$C$8=""),"",V12-Seeds!$C$8)</f>
        <v>-4.4399999999999995E-2</v>
      </c>
      <c r="AG12" s="15" t="str">
        <f>IF(OR(AF12="",Seeds!$C$10=""),"",IF(ABS(AF12)&gt;Seeds!$C$10,"Có","Không"))</f>
        <v>Có</v>
      </c>
    </row>
    <row r="13" spans="1:33" ht="15" customHeight="1" x14ac:dyDescent="0.45">
      <c r="A13" s="13" t="s">
        <v>158</v>
      </c>
      <c r="B13" s="13" t="s">
        <v>29</v>
      </c>
      <c r="C13" s="13" t="s">
        <v>159</v>
      </c>
      <c r="D13" s="13" t="s">
        <v>116</v>
      </c>
      <c r="E13" s="13" t="s">
        <v>153</v>
      </c>
      <c r="F13" s="13">
        <v>1</v>
      </c>
      <c r="G13" s="13">
        <v>0</v>
      </c>
      <c r="H13" s="13">
        <v>512</v>
      </c>
      <c r="I13" s="13">
        <v>20</v>
      </c>
      <c r="J13" s="13" t="s">
        <v>118</v>
      </c>
      <c r="K13" s="13">
        <v>0</v>
      </c>
      <c r="L13" s="13" t="s">
        <v>119</v>
      </c>
      <c r="M13" s="13" t="s">
        <v>120</v>
      </c>
      <c r="N13" s="13" t="s">
        <v>121</v>
      </c>
      <c r="O13" s="13">
        <v>1</v>
      </c>
      <c r="P13" s="14">
        <v>2.2690999999999999</v>
      </c>
      <c r="Q13" s="14">
        <v>0.25219999999999998</v>
      </c>
      <c r="R13" s="13">
        <v>18</v>
      </c>
      <c r="S13" s="14">
        <v>0.27589999999999998</v>
      </c>
      <c r="T13" s="14">
        <v>0.30049999999999999</v>
      </c>
      <c r="U13" s="14">
        <v>0.9</v>
      </c>
      <c r="V13" s="14">
        <v>0.83440000000000003</v>
      </c>
      <c r="W13" s="13">
        <v>1.212</v>
      </c>
      <c r="X13" s="13">
        <v>28.7</v>
      </c>
      <c r="Y13" s="13" t="s">
        <v>110</v>
      </c>
      <c r="Z13" s="14"/>
      <c r="AA13" s="14"/>
      <c r="AB13" s="13" t="s">
        <v>160</v>
      </c>
      <c r="AC13" s="13"/>
      <c r="AD13" s="15">
        <f t="shared" si="0"/>
        <v>0.32318985094468666</v>
      </c>
      <c r="AE13" s="15">
        <f t="shared" si="1"/>
        <v>2.4600000000000011E-2</v>
      </c>
      <c r="AF13" s="15">
        <f>IF(OR(V13="",Seeds!$C$8=""),"",V13-Seeds!$C$8)</f>
        <v>-2.629999999999999E-2</v>
      </c>
      <c r="AG13" s="15" t="str">
        <f>IF(OR(AF13="",Seeds!$C$10=""),"",IF(ABS(AF13)&gt;Seeds!$C$10,"Có","Không"))</f>
        <v>Có</v>
      </c>
    </row>
    <row r="14" spans="1:33" ht="15" customHeight="1" x14ac:dyDescent="0.45">
      <c r="A14" s="13" t="s">
        <v>161</v>
      </c>
      <c r="B14" s="13" t="s">
        <v>29</v>
      </c>
      <c r="C14" s="13" t="s">
        <v>162</v>
      </c>
      <c r="D14" s="13" t="s">
        <v>116</v>
      </c>
      <c r="E14" s="13" t="s">
        <v>109</v>
      </c>
      <c r="F14" s="13">
        <v>2.9999999999999997E-4</v>
      </c>
      <c r="G14" s="13">
        <v>0</v>
      </c>
      <c r="H14" s="13">
        <v>512</v>
      </c>
      <c r="I14" s="13">
        <v>20</v>
      </c>
      <c r="J14" s="13" t="s">
        <v>118</v>
      </c>
      <c r="K14" s="13">
        <v>0</v>
      </c>
      <c r="L14" s="13" t="s">
        <v>119</v>
      </c>
      <c r="M14" s="13" t="s">
        <v>120</v>
      </c>
      <c r="N14" s="13" t="s">
        <v>121</v>
      </c>
      <c r="O14" s="13">
        <v>1</v>
      </c>
      <c r="P14" s="14">
        <v>2.2690999999999999</v>
      </c>
      <c r="Q14" s="14">
        <v>0.3135</v>
      </c>
      <c r="R14" s="13">
        <v>20</v>
      </c>
      <c r="S14" s="14">
        <v>0.30309999999999998</v>
      </c>
      <c r="T14" s="14">
        <v>0.3135</v>
      </c>
      <c r="U14" s="14">
        <v>0.87270000000000003</v>
      </c>
      <c r="V14" s="14">
        <v>0.78769999999999996</v>
      </c>
      <c r="W14" s="13">
        <v>1.3979999999999999</v>
      </c>
      <c r="X14" s="13">
        <v>29</v>
      </c>
      <c r="Y14" s="13" t="s">
        <v>110</v>
      </c>
      <c r="Z14" s="14"/>
      <c r="AA14" s="14"/>
      <c r="AB14" s="13" t="s">
        <v>163</v>
      </c>
      <c r="AC14" s="13"/>
      <c r="AD14" s="15">
        <f t="shared" si="0"/>
        <v>0.32318985094468666</v>
      </c>
      <c r="AE14" s="15">
        <f t="shared" si="1"/>
        <v>1.040000000000002E-2</v>
      </c>
      <c r="AF14" s="15">
        <f>IF(OR(V14="",Seeds!$C$8=""),"",V14-Seeds!$C$8)</f>
        <v>-7.3000000000000065E-2</v>
      </c>
      <c r="AG14" s="15" t="str">
        <f>IF(OR(AF14="",Seeds!$C$10=""),"",IF(ABS(AF14)&gt;Seeds!$C$10,"Có","Không"))</f>
        <v>Có</v>
      </c>
    </row>
    <row r="15" spans="1:33" ht="15" customHeight="1" x14ac:dyDescent="0.45">
      <c r="A15" s="13" t="s">
        <v>164</v>
      </c>
      <c r="B15" s="13" t="s">
        <v>29</v>
      </c>
      <c r="C15" s="13" t="s">
        <v>165</v>
      </c>
      <c r="D15" s="13" t="s">
        <v>116</v>
      </c>
      <c r="E15" s="13" t="s">
        <v>109</v>
      </c>
      <c r="F15" s="13">
        <v>1E-3</v>
      </c>
      <c r="G15" s="13">
        <v>0</v>
      </c>
      <c r="H15" s="13">
        <v>512</v>
      </c>
      <c r="I15" s="13">
        <v>20</v>
      </c>
      <c r="J15" s="13" t="s">
        <v>118</v>
      </c>
      <c r="K15" s="13">
        <v>0</v>
      </c>
      <c r="L15" s="13" t="s">
        <v>119</v>
      </c>
      <c r="M15" s="13" t="s">
        <v>120</v>
      </c>
      <c r="N15" s="13" t="s">
        <v>121</v>
      </c>
      <c r="O15" s="13">
        <v>1</v>
      </c>
      <c r="P15" s="14">
        <v>2.2690999999999999</v>
      </c>
      <c r="Q15" s="14">
        <v>0.24940000000000001</v>
      </c>
      <c r="R15" s="13">
        <v>19</v>
      </c>
      <c r="S15" s="14">
        <v>0.2326</v>
      </c>
      <c r="T15" s="14">
        <v>0.25290000000000001</v>
      </c>
      <c r="U15" s="14">
        <v>0.89929999999999999</v>
      </c>
      <c r="V15" s="14">
        <v>0.84560000000000002</v>
      </c>
      <c r="W15" s="13">
        <v>1.425</v>
      </c>
      <c r="X15" s="13">
        <v>29</v>
      </c>
      <c r="Y15" s="13" t="s">
        <v>110</v>
      </c>
      <c r="Z15" s="14"/>
      <c r="AA15" s="14"/>
      <c r="AB15" s="13" t="s">
        <v>166</v>
      </c>
      <c r="AC15" s="13"/>
      <c r="AD15" s="15">
        <f t="shared" si="0"/>
        <v>0.32318985094468666</v>
      </c>
      <c r="AE15" s="15">
        <f t="shared" si="1"/>
        <v>2.0300000000000012E-2</v>
      </c>
      <c r="AF15" s="15">
        <f>IF(OR(V15="",Seeds!$C$8=""),"",V15-Seeds!$C$8)</f>
        <v>-1.5100000000000002E-2</v>
      </c>
      <c r="AG15" s="15" t="str">
        <f>IF(OR(AF15="",Seeds!$C$10=""),"",IF(ABS(AF15)&gt;Seeds!$C$10,"Có","Không"))</f>
        <v>Có</v>
      </c>
    </row>
    <row r="16" spans="1:33" ht="15" customHeight="1" x14ac:dyDescent="0.45">
      <c r="A16" s="13" t="s">
        <v>167</v>
      </c>
      <c r="B16" s="13" t="s">
        <v>29</v>
      </c>
      <c r="C16" s="13" t="s">
        <v>168</v>
      </c>
      <c r="D16" s="13" t="s">
        <v>116</v>
      </c>
      <c r="E16" s="13" t="s">
        <v>109</v>
      </c>
      <c r="F16" s="13">
        <v>3.0000000000000001E-3</v>
      </c>
      <c r="G16" s="13">
        <v>0</v>
      </c>
      <c r="H16" s="13">
        <v>512</v>
      </c>
      <c r="I16" s="13">
        <v>20</v>
      </c>
      <c r="J16" s="13" t="s">
        <v>118</v>
      </c>
      <c r="K16" s="13">
        <v>0</v>
      </c>
      <c r="L16" s="13" t="s">
        <v>119</v>
      </c>
      <c r="M16" s="13" t="s">
        <v>120</v>
      </c>
      <c r="N16" s="13" t="s">
        <v>121</v>
      </c>
      <c r="O16" s="13">
        <v>1</v>
      </c>
      <c r="P16" s="14">
        <v>2.2690999999999999</v>
      </c>
      <c r="Q16" s="14">
        <v>0.2145</v>
      </c>
      <c r="R16" s="13">
        <v>19</v>
      </c>
      <c r="S16" s="14">
        <v>0.187</v>
      </c>
      <c r="T16" s="14">
        <v>0.216</v>
      </c>
      <c r="U16" s="14">
        <v>0.9153</v>
      </c>
      <c r="V16" s="14">
        <v>0.86770000000000003</v>
      </c>
      <c r="W16" s="13">
        <v>1.5189999999999999</v>
      </c>
      <c r="X16" s="13">
        <v>29</v>
      </c>
      <c r="Y16" s="13" t="s">
        <v>110</v>
      </c>
      <c r="Z16" s="14"/>
      <c r="AA16" s="14"/>
      <c r="AB16" s="13" t="s">
        <v>169</v>
      </c>
      <c r="AC16" s="13"/>
      <c r="AD16" s="15">
        <f t="shared" si="0"/>
        <v>0.32318985094468666</v>
      </c>
      <c r="AE16" s="15">
        <f t="shared" si="1"/>
        <v>2.8999999999999998E-2</v>
      </c>
      <c r="AF16" s="15">
        <f>IF(OR(V16="",Seeds!$C$8=""),"",V16-Seeds!$C$8)</f>
        <v>7.0000000000000062E-3</v>
      </c>
      <c r="AG16" s="15" t="str">
        <f>IF(OR(AF16="",Seeds!$C$10=""),"",IF(ABS(AF16)&gt;Seeds!$C$10,"Có","Không"))</f>
        <v>Có</v>
      </c>
    </row>
    <row r="17" spans="1:33" ht="15" customHeight="1" x14ac:dyDescent="0.45">
      <c r="A17" s="13" t="s">
        <v>170</v>
      </c>
      <c r="B17" s="13" t="s">
        <v>29</v>
      </c>
      <c r="C17" s="13" t="s">
        <v>171</v>
      </c>
      <c r="D17" s="13" t="s">
        <v>116</v>
      </c>
      <c r="E17" s="13" t="s">
        <v>172</v>
      </c>
      <c r="F17" s="13">
        <v>1E-3</v>
      </c>
      <c r="G17" s="13">
        <v>0.01</v>
      </c>
      <c r="H17" s="13">
        <v>512</v>
      </c>
      <c r="I17" s="13">
        <v>20</v>
      </c>
      <c r="J17" s="13" t="s">
        <v>118</v>
      </c>
      <c r="K17" s="13">
        <v>0</v>
      </c>
      <c r="L17" s="13" t="s">
        <v>119</v>
      </c>
      <c r="M17" s="13" t="s">
        <v>120</v>
      </c>
      <c r="N17" s="13" t="s">
        <v>121</v>
      </c>
      <c r="O17" s="13">
        <v>1</v>
      </c>
      <c r="P17" s="14">
        <v>2.2690999999999999</v>
      </c>
      <c r="Q17" s="14">
        <v>0.25069999999999998</v>
      </c>
      <c r="R17" s="13">
        <v>20</v>
      </c>
      <c r="S17" s="14">
        <v>0.2319</v>
      </c>
      <c r="T17" s="14">
        <v>0.25069999999999998</v>
      </c>
      <c r="U17" s="14">
        <v>0.90039999999999998</v>
      </c>
      <c r="V17" s="14">
        <v>0.84819999999999995</v>
      </c>
      <c r="W17" s="13">
        <v>1.409</v>
      </c>
      <c r="X17" s="13">
        <v>29</v>
      </c>
      <c r="Y17" s="13" t="s">
        <v>110</v>
      </c>
      <c r="Z17" s="14"/>
      <c r="AA17" s="14"/>
      <c r="AB17" s="13" t="s">
        <v>173</v>
      </c>
      <c r="AC17" s="13"/>
      <c r="AD17" s="15">
        <f t="shared" si="0"/>
        <v>0.32318985094468666</v>
      </c>
      <c r="AE17" s="15">
        <f t="shared" si="1"/>
        <v>1.8799999999999983E-2</v>
      </c>
      <c r="AF17" s="15">
        <f>IF(OR(V17="",Seeds!$C$8=""),"",V17-Seeds!$C$8)</f>
        <v>-1.2500000000000067E-2</v>
      </c>
      <c r="AG17" s="15" t="str">
        <f>IF(OR(AF17="",Seeds!$C$10=""),"",IF(ABS(AF17)&gt;Seeds!$C$10,"Có","Không"))</f>
        <v>Có</v>
      </c>
    </row>
    <row r="18" spans="1:33" ht="15" customHeight="1" x14ac:dyDescent="0.45">
      <c r="A18" s="13" t="s">
        <v>174</v>
      </c>
      <c r="B18" s="13" t="s">
        <v>29</v>
      </c>
      <c r="C18" s="13" t="s">
        <v>175</v>
      </c>
      <c r="D18" s="13" t="s">
        <v>116</v>
      </c>
      <c r="E18" s="13" t="s">
        <v>172</v>
      </c>
      <c r="F18" s="13">
        <v>3.0000000000000001E-3</v>
      </c>
      <c r="G18" s="13">
        <v>0.01</v>
      </c>
      <c r="H18" s="13">
        <v>512</v>
      </c>
      <c r="I18" s="13">
        <v>20</v>
      </c>
      <c r="J18" s="13" t="s">
        <v>118</v>
      </c>
      <c r="K18" s="13">
        <v>0</v>
      </c>
      <c r="L18" s="13" t="s">
        <v>119</v>
      </c>
      <c r="M18" s="13" t="s">
        <v>120</v>
      </c>
      <c r="N18" s="13" t="s">
        <v>121</v>
      </c>
      <c r="O18" s="13">
        <v>1</v>
      </c>
      <c r="P18" s="14">
        <v>2.2690999999999999</v>
      </c>
      <c r="Q18" s="14">
        <v>0.21609999999999999</v>
      </c>
      <c r="R18" s="13">
        <v>18</v>
      </c>
      <c r="S18" s="14">
        <v>0.19800000000000001</v>
      </c>
      <c r="T18" s="14">
        <v>0.22040000000000001</v>
      </c>
      <c r="U18" s="14">
        <v>0.91300000000000003</v>
      </c>
      <c r="V18" s="14">
        <v>0.86460000000000004</v>
      </c>
      <c r="W18" s="13">
        <v>1.407</v>
      </c>
      <c r="X18" s="13">
        <v>29</v>
      </c>
      <c r="Y18" s="13" t="s">
        <v>110</v>
      </c>
      <c r="Z18" s="14"/>
      <c r="AA18" s="14"/>
      <c r="AB18" s="13" t="s">
        <v>176</v>
      </c>
      <c r="AC18" s="13"/>
      <c r="AD18" s="15">
        <f t="shared" si="0"/>
        <v>0.32318985094468666</v>
      </c>
      <c r="AE18" s="15">
        <f t="shared" si="1"/>
        <v>2.2400000000000003E-2</v>
      </c>
      <c r="AF18" s="15">
        <f>IF(OR(V18="",Seeds!$C$8=""),"",V18-Seeds!$C$8)</f>
        <v>3.9000000000000146E-3</v>
      </c>
      <c r="AG18" s="15" t="str">
        <f>IF(OR(AF18="",Seeds!$C$10=""),"",IF(ABS(AF18)&gt;Seeds!$C$10,"Có","Không"))</f>
        <v>Không</v>
      </c>
    </row>
    <row r="19" spans="1:33" ht="15" customHeight="1" x14ac:dyDescent="0.45">
      <c r="A19" s="13" t="s">
        <v>177</v>
      </c>
      <c r="B19" s="13" t="s">
        <v>29</v>
      </c>
      <c r="C19" s="13" t="s">
        <v>178</v>
      </c>
      <c r="D19" s="13" t="s">
        <v>116</v>
      </c>
      <c r="E19" s="13" t="s">
        <v>172</v>
      </c>
      <c r="F19" s="13">
        <v>1E-3</v>
      </c>
      <c r="G19" s="13">
        <v>0</v>
      </c>
      <c r="H19" s="13">
        <v>512</v>
      </c>
      <c r="I19" s="13">
        <v>20</v>
      </c>
      <c r="J19" s="13" t="s">
        <v>118</v>
      </c>
      <c r="K19" s="13">
        <v>0</v>
      </c>
      <c r="L19" s="13" t="s">
        <v>119</v>
      </c>
      <c r="M19" s="13" t="s">
        <v>120</v>
      </c>
      <c r="N19" s="13" t="s">
        <v>121</v>
      </c>
      <c r="O19" s="13">
        <v>1</v>
      </c>
      <c r="P19" s="14">
        <v>2.2690999999999999</v>
      </c>
      <c r="Q19" s="14">
        <v>0.24940000000000001</v>
      </c>
      <c r="R19" s="13">
        <v>19</v>
      </c>
      <c r="S19" s="14">
        <v>0.2326</v>
      </c>
      <c r="T19" s="14">
        <v>0.25290000000000001</v>
      </c>
      <c r="U19" s="14">
        <v>0.89929999999999999</v>
      </c>
      <c r="V19" s="14">
        <v>0.84560000000000002</v>
      </c>
      <c r="W19" s="13">
        <v>1.4650000000000001</v>
      </c>
      <c r="X19" s="13">
        <v>29</v>
      </c>
      <c r="Y19" s="13" t="s">
        <v>110</v>
      </c>
      <c r="Z19" s="14"/>
      <c r="AA19" s="14"/>
      <c r="AB19" s="13" t="s">
        <v>179</v>
      </c>
      <c r="AC19" s="13"/>
      <c r="AD19" s="15">
        <f t="shared" si="0"/>
        <v>0.32318985094468666</v>
      </c>
      <c r="AE19" s="15">
        <f t="shared" si="1"/>
        <v>2.0300000000000012E-2</v>
      </c>
      <c r="AF19" s="15">
        <f>IF(OR(V19="",Seeds!$C$8=""),"",V19-Seeds!$C$8)</f>
        <v>-1.5100000000000002E-2</v>
      </c>
      <c r="AG19" s="15" t="str">
        <f>IF(OR(AF19="",Seeds!$C$10=""),"",IF(ABS(AF19)&gt;Seeds!$C$10,"Có","Không"))</f>
        <v>Có</v>
      </c>
    </row>
    <row r="20" spans="1:33" ht="15" customHeight="1" x14ac:dyDescent="0.45">
      <c r="A20" s="13" t="s">
        <v>180</v>
      </c>
      <c r="B20" s="13" t="s">
        <v>181</v>
      </c>
      <c r="C20" s="13" t="s">
        <v>182</v>
      </c>
      <c r="D20" s="13" t="s">
        <v>116</v>
      </c>
      <c r="E20" s="13" t="s">
        <v>117</v>
      </c>
      <c r="F20" s="13">
        <v>0.3</v>
      </c>
      <c r="G20" s="13">
        <v>0</v>
      </c>
      <c r="H20" s="13">
        <v>128</v>
      </c>
      <c r="I20" s="13">
        <v>20</v>
      </c>
      <c r="J20" s="13" t="s">
        <v>118</v>
      </c>
      <c r="K20" s="13">
        <v>0</v>
      </c>
      <c r="L20" s="13" t="s">
        <v>119</v>
      </c>
      <c r="M20" s="13" t="s">
        <v>120</v>
      </c>
      <c r="N20" s="13" t="s">
        <v>121</v>
      </c>
      <c r="O20" s="13">
        <v>1</v>
      </c>
      <c r="P20" s="14">
        <v>2.2690999999999999</v>
      </c>
      <c r="Q20" s="14">
        <v>0.32090000000000002</v>
      </c>
      <c r="R20" s="13">
        <v>14</v>
      </c>
      <c r="S20" s="14">
        <v>0.3044</v>
      </c>
      <c r="T20" s="14">
        <v>0.32450000000000001</v>
      </c>
      <c r="U20" s="14">
        <v>0.87490000000000001</v>
      </c>
      <c r="V20" s="14">
        <v>0.79510000000000003</v>
      </c>
      <c r="W20" s="13">
        <v>5.0090000000000003</v>
      </c>
      <c r="X20" s="13">
        <v>29.9</v>
      </c>
      <c r="Y20" s="13" t="s">
        <v>110</v>
      </c>
      <c r="Z20" s="14"/>
      <c r="AA20" s="14"/>
      <c r="AB20" s="13" t="s">
        <v>183</v>
      </c>
      <c r="AC20" s="13"/>
      <c r="AD20" s="15">
        <f t="shared" si="0"/>
        <v>0.32318985094468666</v>
      </c>
      <c r="AE20" s="15">
        <f t="shared" si="1"/>
        <v>2.0100000000000007E-2</v>
      </c>
      <c r="AF20" s="15">
        <f>IF(OR(V20="",Seeds!$C$8=""),"",V20-Seeds!$C$8)</f>
        <v>-6.5599999999999992E-2</v>
      </c>
      <c r="AG20" s="15" t="str">
        <f>IF(OR(AF20="",Seeds!$C$10=""),"",IF(ABS(AF20)&gt;Seeds!$C$10,"Có","Không"))</f>
        <v>Có</v>
      </c>
    </row>
    <row r="21" spans="1:33" ht="15" customHeight="1" x14ac:dyDescent="0.45">
      <c r="A21" s="13" t="s">
        <v>184</v>
      </c>
      <c r="B21" s="13" t="s">
        <v>181</v>
      </c>
      <c r="C21" s="13" t="s">
        <v>185</v>
      </c>
      <c r="D21" s="13" t="s">
        <v>116</v>
      </c>
      <c r="E21" s="13" t="s">
        <v>117</v>
      </c>
      <c r="F21" s="13">
        <v>0.3</v>
      </c>
      <c r="G21" s="13">
        <v>0</v>
      </c>
      <c r="H21" s="13">
        <v>2048</v>
      </c>
      <c r="I21" s="13">
        <v>20</v>
      </c>
      <c r="J21" s="13" t="s">
        <v>118</v>
      </c>
      <c r="K21" s="13">
        <v>0</v>
      </c>
      <c r="L21" s="13" t="s">
        <v>119</v>
      </c>
      <c r="M21" s="13" t="s">
        <v>120</v>
      </c>
      <c r="N21" s="13" t="s">
        <v>121</v>
      </c>
      <c r="O21" s="13">
        <v>1</v>
      </c>
      <c r="P21" s="14">
        <v>2.2690999999999999</v>
      </c>
      <c r="Q21" s="14">
        <v>0.2437</v>
      </c>
      <c r="R21" s="13">
        <v>18</v>
      </c>
      <c r="S21" s="14">
        <v>0.2268</v>
      </c>
      <c r="T21" s="14">
        <v>0.24610000000000001</v>
      </c>
      <c r="U21" s="14">
        <v>0.90139999999999998</v>
      </c>
      <c r="V21" s="14">
        <v>0.83379999999999999</v>
      </c>
      <c r="W21" s="13">
        <v>0.36499999999999999</v>
      </c>
      <c r="X21" s="13">
        <v>29.1</v>
      </c>
      <c r="Y21" s="13" t="s">
        <v>110</v>
      </c>
      <c r="Z21" s="14"/>
      <c r="AA21" s="14"/>
      <c r="AB21" s="13" t="s">
        <v>186</v>
      </c>
      <c r="AC21" s="13"/>
      <c r="AD21" s="15">
        <f t="shared" si="0"/>
        <v>0.32318985094468666</v>
      </c>
      <c r="AE21" s="15">
        <f t="shared" si="1"/>
        <v>1.9300000000000012E-2</v>
      </c>
      <c r="AF21" s="15">
        <f>IF(OR(V21="",Seeds!$C$8=""),"",V21-Seeds!$C$8)</f>
        <v>-2.6900000000000035E-2</v>
      </c>
      <c r="AG21" s="15" t="str">
        <f>IF(OR(AF21="",Seeds!$C$10=""),"",IF(ABS(AF21)&gt;Seeds!$C$10,"Có","Không"))</f>
        <v>Có</v>
      </c>
    </row>
    <row r="22" spans="1:33" ht="15" customHeight="1" x14ac:dyDescent="0.45">
      <c r="A22" s="13" t="s">
        <v>187</v>
      </c>
      <c r="B22" s="13" t="s">
        <v>181</v>
      </c>
      <c r="C22" s="13" t="s">
        <v>188</v>
      </c>
      <c r="D22" s="13" t="s">
        <v>116</v>
      </c>
      <c r="E22" s="13" t="s">
        <v>117</v>
      </c>
      <c r="F22" s="13">
        <v>1.2</v>
      </c>
      <c r="G22" s="13">
        <v>0</v>
      </c>
      <c r="H22" s="13">
        <v>2048</v>
      </c>
      <c r="I22" s="13">
        <v>20</v>
      </c>
      <c r="J22" s="13" t="s">
        <v>118</v>
      </c>
      <c r="K22" s="13">
        <v>0</v>
      </c>
      <c r="L22" s="13" t="s">
        <v>119</v>
      </c>
      <c r="M22" s="13" t="s">
        <v>120</v>
      </c>
      <c r="N22" s="13" t="s">
        <v>121</v>
      </c>
      <c r="O22" s="13">
        <v>1</v>
      </c>
      <c r="P22" s="14">
        <v>2.2690999999999999</v>
      </c>
      <c r="Q22" s="14">
        <v>1.2052</v>
      </c>
      <c r="R22" s="13">
        <v>11</v>
      </c>
      <c r="S22" s="14">
        <v>1.2036</v>
      </c>
      <c r="T22" s="14">
        <v>1.2053</v>
      </c>
      <c r="U22" s="14">
        <v>0.48759999999999998</v>
      </c>
      <c r="V22" s="14">
        <v>9.3600000000000003E-2</v>
      </c>
      <c r="W22" s="13">
        <v>0.33700000000000002</v>
      </c>
      <c r="X22" s="13">
        <v>29.1</v>
      </c>
      <c r="Y22" s="13" t="s">
        <v>110</v>
      </c>
      <c r="Z22" s="14"/>
      <c r="AA22" s="14"/>
      <c r="AB22" s="13" t="s">
        <v>189</v>
      </c>
      <c r="AC22" s="13" t="s">
        <v>190</v>
      </c>
      <c r="AD22" s="15">
        <f t="shared" si="0"/>
        <v>0.32318985094468666</v>
      </c>
      <c r="AE22" s="15">
        <f t="shared" si="1"/>
        <v>1.7000000000000348E-3</v>
      </c>
      <c r="AF22" s="15">
        <f>IF(OR(V22="",Seeds!$C$8=""),"",V22-Seeds!$C$8)</f>
        <v>-0.7671</v>
      </c>
      <c r="AG22" s="15" t="str">
        <f>IF(OR(AF22="",Seeds!$C$10=""),"",IF(ABS(AF22)&gt;Seeds!$C$10,"Có","Không"))</f>
        <v>Có</v>
      </c>
    </row>
    <row r="23" spans="1:33" ht="15" customHeight="1" x14ac:dyDescent="0.45">
      <c r="A23" s="13" t="s">
        <v>191</v>
      </c>
      <c r="B23" s="13" t="s">
        <v>181</v>
      </c>
      <c r="C23" s="13" t="s">
        <v>192</v>
      </c>
      <c r="D23" s="13" t="s">
        <v>116</v>
      </c>
      <c r="E23" s="13" t="s">
        <v>117</v>
      </c>
      <c r="F23" s="13">
        <v>0.3</v>
      </c>
      <c r="G23" s="13">
        <v>0</v>
      </c>
      <c r="H23" s="13">
        <v>512</v>
      </c>
      <c r="I23" s="13">
        <v>20</v>
      </c>
      <c r="J23" s="13" t="s">
        <v>193</v>
      </c>
      <c r="K23" s="13">
        <v>0</v>
      </c>
      <c r="L23" s="13" t="s">
        <v>119</v>
      </c>
      <c r="M23" s="13" t="s">
        <v>120</v>
      </c>
      <c r="N23" s="13" t="s">
        <v>121</v>
      </c>
      <c r="O23" s="13">
        <v>1</v>
      </c>
      <c r="P23" s="14">
        <v>1.9181999999999999</v>
      </c>
      <c r="Q23" s="14">
        <v>0.19980000000000001</v>
      </c>
      <c r="R23" s="13">
        <v>20</v>
      </c>
      <c r="S23" s="14">
        <v>0.16689999999999999</v>
      </c>
      <c r="T23" s="14">
        <v>0.19980000000000001</v>
      </c>
      <c r="U23" s="14">
        <v>0.92259999999999998</v>
      </c>
      <c r="V23" s="14">
        <v>0.87470000000000003</v>
      </c>
      <c r="W23" s="13">
        <v>1.2569999999999999</v>
      </c>
      <c r="X23" s="13">
        <v>46.1</v>
      </c>
      <c r="Y23" s="13" t="s">
        <v>110</v>
      </c>
      <c r="Z23" s="14"/>
      <c r="AA23" s="14"/>
      <c r="AB23" s="13" t="s">
        <v>194</v>
      </c>
      <c r="AC23" s="13"/>
      <c r="AD23" s="15">
        <f t="shared" si="0"/>
        <v>-2.7710149055313327E-2</v>
      </c>
      <c r="AE23" s="15">
        <f t="shared" si="1"/>
        <v>3.2900000000000013E-2</v>
      </c>
      <c r="AF23" s="15">
        <f>IF(OR(V23="",Seeds!$C$8=""),"",V23-Seeds!$C$8)</f>
        <v>1.4000000000000012E-2</v>
      </c>
      <c r="AG23" s="15" t="str">
        <f>IF(OR(AF23="",Seeds!$C$10=""),"",IF(ABS(AF23)&gt;Seeds!$C$10,"Có","Không"))</f>
        <v>Có</v>
      </c>
    </row>
    <row r="24" spans="1:33" ht="15" customHeight="1" x14ac:dyDescent="0.45">
      <c r="A24" s="13" t="s">
        <v>195</v>
      </c>
      <c r="B24" s="13" t="s">
        <v>181</v>
      </c>
      <c r="C24" s="13" t="s">
        <v>196</v>
      </c>
      <c r="D24" s="13" t="s">
        <v>116</v>
      </c>
      <c r="E24" s="13" t="s">
        <v>117</v>
      </c>
      <c r="F24" s="13">
        <v>0.3</v>
      </c>
      <c r="G24" s="13">
        <v>0</v>
      </c>
      <c r="H24" s="13">
        <v>512</v>
      </c>
      <c r="I24" s="13">
        <v>20</v>
      </c>
      <c r="J24" s="13" t="s">
        <v>197</v>
      </c>
      <c r="K24" s="13">
        <v>0</v>
      </c>
      <c r="L24" s="13" t="s">
        <v>119</v>
      </c>
      <c r="M24" s="13" t="s">
        <v>120</v>
      </c>
      <c r="N24" s="13" t="s">
        <v>121</v>
      </c>
      <c r="O24" s="13">
        <v>1</v>
      </c>
      <c r="P24" s="14">
        <v>1.9098999999999999</v>
      </c>
      <c r="Q24" s="14">
        <v>0.22220000000000001</v>
      </c>
      <c r="R24" s="13">
        <v>20</v>
      </c>
      <c r="S24" s="14">
        <v>0.1913</v>
      </c>
      <c r="T24" s="14">
        <v>0.22220000000000001</v>
      </c>
      <c r="U24" s="14">
        <v>0.91379999999999995</v>
      </c>
      <c r="V24" s="14">
        <v>0.84130000000000005</v>
      </c>
      <c r="W24" s="13">
        <v>1.413</v>
      </c>
      <c r="X24" s="13">
        <v>28.9</v>
      </c>
      <c r="Y24" s="13" t="s">
        <v>110</v>
      </c>
      <c r="Z24" s="14"/>
      <c r="AA24" s="14"/>
      <c r="AB24" s="13" t="s">
        <v>198</v>
      </c>
      <c r="AC24" s="13"/>
      <c r="AD24" s="15">
        <f t="shared" si="0"/>
        <v>-3.6010149055313301E-2</v>
      </c>
      <c r="AE24" s="15">
        <f t="shared" si="1"/>
        <v>3.0900000000000011E-2</v>
      </c>
      <c r="AF24" s="15">
        <f>IF(OR(V24="",Seeds!$C$8=""),"",V24-Seeds!$C$8)</f>
        <v>-1.9399999999999973E-2</v>
      </c>
      <c r="AG24" s="15" t="str">
        <f>IF(OR(AF24="",Seeds!$C$10=""),"",IF(ABS(AF24)&gt;Seeds!$C$10,"Có","Không"))</f>
        <v>Có</v>
      </c>
    </row>
    <row r="25" spans="1:33" ht="15" customHeight="1" x14ac:dyDescent="0.45">
      <c r="A25" s="13" t="s">
        <v>199</v>
      </c>
      <c r="B25" s="13" t="s">
        <v>181</v>
      </c>
      <c r="C25" s="13" t="s">
        <v>200</v>
      </c>
      <c r="D25" s="13" t="s">
        <v>116</v>
      </c>
      <c r="E25" s="13" t="s">
        <v>117</v>
      </c>
      <c r="F25" s="13">
        <v>0.3</v>
      </c>
      <c r="G25" s="13">
        <v>5.0000000000000001E-4</v>
      </c>
      <c r="H25" s="13">
        <v>512</v>
      </c>
      <c r="I25" s="13">
        <v>20</v>
      </c>
      <c r="J25" s="13" t="s">
        <v>118</v>
      </c>
      <c r="K25" s="13">
        <v>0</v>
      </c>
      <c r="L25" s="13" t="s">
        <v>119</v>
      </c>
      <c r="M25" s="13" t="s">
        <v>120</v>
      </c>
      <c r="N25" s="13" t="s">
        <v>121</v>
      </c>
      <c r="O25" s="13">
        <v>1</v>
      </c>
      <c r="P25" s="14">
        <v>2.2690999999999999</v>
      </c>
      <c r="Q25" s="14">
        <v>0.38400000000000001</v>
      </c>
      <c r="R25" s="13">
        <v>20</v>
      </c>
      <c r="S25" s="14">
        <v>0.37969999999999998</v>
      </c>
      <c r="T25" s="14">
        <v>0.38400000000000001</v>
      </c>
      <c r="U25" s="14">
        <v>0.84130000000000005</v>
      </c>
      <c r="V25" s="14">
        <v>0.70350000000000001</v>
      </c>
      <c r="W25" s="13">
        <v>1.32</v>
      </c>
      <c r="X25" s="13">
        <v>28.8</v>
      </c>
      <c r="Y25" s="13" t="s">
        <v>110</v>
      </c>
      <c r="Z25" s="14"/>
      <c r="AA25" s="14"/>
      <c r="AB25" s="13" t="s">
        <v>201</v>
      </c>
      <c r="AC25" s="13"/>
      <c r="AD25" s="15">
        <f t="shared" si="0"/>
        <v>0.32318985094468666</v>
      </c>
      <c r="AE25" s="15">
        <f t="shared" si="1"/>
        <v>4.300000000000026E-3</v>
      </c>
      <c r="AF25" s="15">
        <f>IF(OR(V25="",Seeds!$C$8=""),"",V25-Seeds!$C$8)</f>
        <v>-0.15720000000000001</v>
      </c>
      <c r="AG25" s="15" t="str">
        <f>IF(OR(AF25="",Seeds!$C$10=""),"",IF(ABS(AF25)&gt;Seeds!$C$10,"Có","Không"))</f>
        <v>Có</v>
      </c>
    </row>
    <row r="26" spans="1:33" ht="15" customHeight="1" x14ac:dyDescent="0.45">
      <c r="A26" s="13" t="s">
        <v>202</v>
      </c>
      <c r="B26" s="13" t="s">
        <v>46</v>
      </c>
      <c r="C26" s="13" t="s">
        <v>203</v>
      </c>
      <c r="D26" s="13" t="s">
        <v>116</v>
      </c>
      <c r="E26" s="13" t="s">
        <v>117</v>
      </c>
      <c r="F26" s="13">
        <v>0.3</v>
      </c>
      <c r="G26" s="13">
        <v>0</v>
      </c>
      <c r="H26" s="13">
        <v>512</v>
      </c>
      <c r="I26" s="13">
        <v>20</v>
      </c>
      <c r="J26" s="13" t="s">
        <v>118</v>
      </c>
      <c r="K26" s="13">
        <v>0.1</v>
      </c>
      <c r="L26" s="13" t="s">
        <v>119</v>
      </c>
      <c r="M26" s="13" t="s">
        <v>120</v>
      </c>
      <c r="N26" s="13" t="s">
        <v>121</v>
      </c>
      <c r="O26" s="13">
        <v>1</v>
      </c>
      <c r="P26" s="14">
        <v>2.2690999999999999</v>
      </c>
      <c r="Q26" s="14">
        <v>0.24</v>
      </c>
      <c r="R26" s="13">
        <v>20</v>
      </c>
      <c r="S26" s="14">
        <v>0.2253</v>
      </c>
      <c r="T26" s="14">
        <v>0.24</v>
      </c>
      <c r="U26" s="14">
        <v>0.90249999999999997</v>
      </c>
      <c r="V26" s="14">
        <v>0.83850000000000002</v>
      </c>
      <c r="W26" s="13">
        <v>1.381</v>
      </c>
      <c r="X26" s="13">
        <v>28.8</v>
      </c>
      <c r="Y26" s="13" t="s">
        <v>110</v>
      </c>
      <c r="Z26" s="14"/>
      <c r="AA26" s="14"/>
      <c r="AB26" s="13" t="s">
        <v>204</v>
      </c>
      <c r="AC26" s="13"/>
      <c r="AD26" s="15">
        <f t="shared" si="0"/>
        <v>0.32318985094468666</v>
      </c>
      <c r="AE26" s="15">
        <f t="shared" si="1"/>
        <v>1.4699999999999991E-2</v>
      </c>
      <c r="AF26" s="15">
        <f>IF(OR(V26="",Seeds!$C$8=""),"",V26-Seeds!$C$8)</f>
        <v>-2.2199999999999998E-2</v>
      </c>
      <c r="AG26" s="15" t="str">
        <f>IF(OR(AF26="",Seeds!$C$10=""),"",IF(ABS(AF26)&gt;Seeds!$C$10,"Có","Không"))</f>
        <v>Có</v>
      </c>
    </row>
    <row r="27" spans="1:33" ht="15" customHeight="1" x14ac:dyDescent="0.45">
      <c r="A27" s="13" t="s">
        <v>205</v>
      </c>
      <c r="B27" s="13" t="s">
        <v>46</v>
      </c>
      <c r="C27" s="13" t="s">
        <v>206</v>
      </c>
      <c r="D27" s="13" t="s">
        <v>116</v>
      </c>
      <c r="E27" s="13" t="s">
        <v>117</v>
      </c>
      <c r="F27" s="13">
        <v>0.3</v>
      </c>
      <c r="G27" s="13">
        <v>0</v>
      </c>
      <c r="H27" s="13">
        <v>512</v>
      </c>
      <c r="I27" s="13">
        <v>20</v>
      </c>
      <c r="J27" s="13" t="s">
        <v>118</v>
      </c>
      <c r="K27" s="13">
        <v>0.3</v>
      </c>
      <c r="L27" s="13" t="s">
        <v>119</v>
      </c>
      <c r="M27" s="13" t="s">
        <v>120</v>
      </c>
      <c r="N27" s="13" t="s">
        <v>121</v>
      </c>
      <c r="O27" s="13">
        <v>1</v>
      </c>
      <c r="P27" s="14">
        <v>2.2690999999999999</v>
      </c>
      <c r="Q27" s="14">
        <v>0.31409999999999999</v>
      </c>
      <c r="R27" s="13">
        <v>20</v>
      </c>
      <c r="S27" s="14">
        <v>0.30809999999999998</v>
      </c>
      <c r="T27" s="14">
        <v>0.31409999999999999</v>
      </c>
      <c r="U27" s="14">
        <v>0.872</v>
      </c>
      <c r="V27" s="14">
        <v>0.78239999999999998</v>
      </c>
      <c r="W27" s="13">
        <v>1.38</v>
      </c>
      <c r="X27" s="13">
        <v>28.8</v>
      </c>
      <c r="Y27" s="13" t="s">
        <v>110</v>
      </c>
      <c r="Z27" s="14"/>
      <c r="AA27" s="14"/>
      <c r="AB27" s="13" t="s">
        <v>207</v>
      </c>
      <c r="AC27" s="13"/>
      <c r="AD27" s="15">
        <f t="shared" si="0"/>
        <v>0.32318985094468666</v>
      </c>
      <c r="AE27" s="15">
        <f t="shared" si="1"/>
        <v>6.0000000000000053E-3</v>
      </c>
      <c r="AF27" s="15">
        <f>IF(OR(V27="",Seeds!$C$8=""),"",V27-Seeds!$C$8)</f>
        <v>-7.8300000000000036E-2</v>
      </c>
      <c r="AG27" s="15" t="str">
        <f>IF(OR(AF27="",Seeds!$C$10=""),"",IF(ABS(AF27)&gt;Seeds!$C$10,"Có","Không"))</f>
        <v>Có</v>
      </c>
    </row>
    <row r="28" spans="1:33" ht="15" customHeight="1" x14ac:dyDescent="0.45">
      <c r="A28" s="13" t="s">
        <v>208</v>
      </c>
      <c r="B28" s="13" t="s">
        <v>46</v>
      </c>
      <c r="C28" s="13" t="s">
        <v>209</v>
      </c>
      <c r="D28" s="13" t="s">
        <v>116</v>
      </c>
      <c r="E28" s="13" t="s">
        <v>117</v>
      </c>
      <c r="F28" s="13">
        <v>0.3</v>
      </c>
      <c r="G28" s="13">
        <v>0</v>
      </c>
      <c r="H28" s="13">
        <v>512</v>
      </c>
      <c r="I28" s="13">
        <v>20</v>
      </c>
      <c r="J28" s="13" t="s">
        <v>118</v>
      </c>
      <c r="K28" s="13">
        <v>0.5</v>
      </c>
      <c r="L28" s="13" t="s">
        <v>119</v>
      </c>
      <c r="M28" s="13" t="s">
        <v>120</v>
      </c>
      <c r="N28" s="13" t="s">
        <v>121</v>
      </c>
      <c r="O28" s="13">
        <v>1</v>
      </c>
      <c r="P28" s="14">
        <v>2.2690999999999999</v>
      </c>
      <c r="Q28" s="14">
        <v>0.4249</v>
      </c>
      <c r="R28" s="13">
        <v>20</v>
      </c>
      <c r="S28" s="14">
        <v>0.42099999999999999</v>
      </c>
      <c r="T28" s="14">
        <v>0.4249</v>
      </c>
      <c r="U28" s="14">
        <v>0.8196</v>
      </c>
      <c r="V28" s="14">
        <v>0.57840000000000003</v>
      </c>
      <c r="W28" s="13">
        <v>1.391</v>
      </c>
      <c r="X28" s="13">
        <v>28.8</v>
      </c>
      <c r="Y28" s="13" t="s">
        <v>110</v>
      </c>
      <c r="Z28" s="14"/>
      <c r="AA28" s="14"/>
      <c r="AB28" s="13" t="s">
        <v>210</v>
      </c>
      <c r="AC28" s="13"/>
      <c r="AD28" s="15">
        <f t="shared" si="0"/>
        <v>0.32318985094468666</v>
      </c>
      <c r="AE28" s="15">
        <f t="shared" si="1"/>
        <v>3.9000000000000146E-3</v>
      </c>
      <c r="AF28" s="15">
        <f>IF(OR(V28="",Seeds!$C$8=""),"",V28-Seeds!$C$8)</f>
        <v>-0.2823</v>
      </c>
      <c r="AG28" s="15" t="str">
        <f>IF(OR(AF28="",Seeds!$C$10=""),"",IF(ABS(AF28)&gt;Seeds!$C$10,"Có","Không"))</f>
        <v>Có</v>
      </c>
    </row>
    <row r="29" spans="1:33" ht="15" customHeight="1" x14ac:dyDescent="0.45">
      <c r="A29" s="13" t="s">
        <v>211</v>
      </c>
      <c r="B29" s="13" t="s">
        <v>212</v>
      </c>
      <c r="C29" s="13" t="s">
        <v>213</v>
      </c>
      <c r="D29" s="13" t="s">
        <v>116</v>
      </c>
      <c r="E29" s="13" t="s">
        <v>117</v>
      </c>
      <c r="F29" s="13">
        <v>0.3</v>
      </c>
      <c r="G29" s="13">
        <v>0</v>
      </c>
      <c r="H29" s="13">
        <v>512</v>
      </c>
      <c r="I29" s="13">
        <v>20</v>
      </c>
      <c r="J29" s="13" t="s">
        <v>118</v>
      </c>
      <c r="K29" s="13">
        <v>0</v>
      </c>
      <c r="L29" s="13">
        <v>0.35</v>
      </c>
      <c r="M29" s="13" t="s">
        <v>120</v>
      </c>
      <c r="N29" s="13" t="s">
        <v>121</v>
      </c>
      <c r="O29" s="13">
        <v>1</v>
      </c>
      <c r="P29" s="14">
        <v>2.2690999999999999</v>
      </c>
      <c r="Q29" s="14">
        <v>0.22869999999999999</v>
      </c>
      <c r="R29" s="13">
        <v>19</v>
      </c>
      <c r="S29" s="14">
        <v>0.20319999999999999</v>
      </c>
      <c r="T29" s="14">
        <v>0.22939999999999999</v>
      </c>
      <c r="U29" s="14">
        <v>0.90890000000000004</v>
      </c>
      <c r="V29" s="14">
        <v>0.85809999999999997</v>
      </c>
      <c r="W29" s="13">
        <v>1.2649999999999999</v>
      </c>
      <c r="X29" s="13">
        <v>28.8</v>
      </c>
      <c r="Y29" s="13" t="s">
        <v>110</v>
      </c>
      <c r="Z29" s="14"/>
      <c r="AA29" s="14"/>
      <c r="AB29" s="13" t="s">
        <v>214</v>
      </c>
      <c r="AC29" s="13"/>
      <c r="AD29" s="15">
        <f t="shared" si="0"/>
        <v>0.32318985094468666</v>
      </c>
      <c r="AE29" s="15">
        <f t="shared" si="1"/>
        <v>2.6200000000000001E-2</v>
      </c>
      <c r="AF29" s="15">
        <f>IF(OR(V29="",Seeds!$C$8=""),"",V29-Seeds!$C$8)</f>
        <v>-2.6000000000000467E-3</v>
      </c>
      <c r="AG29" s="15" t="str">
        <f>IF(OR(AF29="",Seeds!$C$10=""),"",IF(ABS(AF29)&gt;Seeds!$C$10,"Có","Không"))</f>
        <v>Không</v>
      </c>
    </row>
    <row r="30" spans="1:33" ht="15" customHeight="1" x14ac:dyDescent="0.45">
      <c r="A30" s="13" t="s">
        <v>215</v>
      </c>
      <c r="B30" s="13" t="s">
        <v>212</v>
      </c>
      <c r="C30" s="13" t="s">
        <v>216</v>
      </c>
      <c r="D30" s="13" t="s">
        <v>116</v>
      </c>
      <c r="E30" s="13" t="s">
        <v>117</v>
      </c>
      <c r="F30" s="13">
        <v>3</v>
      </c>
      <c r="G30" s="13">
        <v>0</v>
      </c>
      <c r="H30" s="13">
        <v>512</v>
      </c>
      <c r="I30" s="13">
        <v>20</v>
      </c>
      <c r="J30" s="13" t="s">
        <v>118</v>
      </c>
      <c r="K30" s="13">
        <v>0</v>
      </c>
      <c r="L30" s="13" t="s">
        <v>119</v>
      </c>
      <c r="M30" s="13" t="s">
        <v>120</v>
      </c>
      <c r="N30" s="13" t="s">
        <v>121</v>
      </c>
      <c r="O30" s="13">
        <v>1</v>
      </c>
      <c r="P30" s="14">
        <v>2.2690999999999999</v>
      </c>
      <c r="Q30" s="14">
        <v>1.2090000000000001</v>
      </c>
      <c r="R30" s="13">
        <v>17</v>
      </c>
      <c r="S30" s="14">
        <v>1.2082999999999999</v>
      </c>
      <c r="T30" s="14">
        <v>1.2101</v>
      </c>
      <c r="U30" s="14">
        <v>0.48759999999999998</v>
      </c>
      <c r="V30" s="14">
        <v>9.3600000000000003E-2</v>
      </c>
      <c r="W30" s="13">
        <v>1.2450000000000001</v>
      </c>
      <c r="X30" s="13">
        <v>28.8</v>
      </c>
      <c r="Y30" s="13" t="s">
        <v>110</v>
      </c>
      <c r="Z30" s="14"/>
      <c r="AA30" s="14"/>
      <c r="AB30" s="13" t="s">
        <v>217</v>
      </c>
      <c r="AC30" s="13" t="s">
        <v>218</v>
      </c>
      <c r="AD30" s="15">
        <f t="shared" si="0"/>
        <v>0.32318985094468666</v>
      </c>
      <c r="AE30" s="15">
        <f t="shared" si="1"/>
        <v>1.8000000000000238E-3</v>
      </c>
      <c r="AF30" s="15">
        <f>IF(OR(V30="",Seeds!$C$8=""),"",V30-Seeds!$C$8)</f>
        <v>-0.7671</v>
      </c>
      <c r="AG30" s="15" t="str">
        <f>IF(OR(AF30="",Seeds!$C$10=""),"",IF(ABS(AF30)&gt;Seeds!$C$10,"Có","Không"))</f>
        <v>Có</v>
      </c>
    </row>
    <row r="31" spans="1:33" ht="15" customHeight="1" x14ac:dyDescent="0.45">
      <c r="A31" s="13" t="s">
        <v>219</v>
      </c>
      <c r="B31" s="13" t="s">
        <v>212</v>
      </c>
      <c r="C31" s="13" t="s">
        <v>220</v>
      </c>
      <c r="D31" s="13" t="s">
        <v>116</v>
      </c>
      <c r="E31" s="13" t="s">
        <v>117</v>
      </c>
      <c r="F31" s="13">
        <v>3</v>
      </c>
      <c r="G31" s="13">
        <v>0</v>
      </c>
      <c r="H31" s="13">
        <v>512</v>
      </c>
      <c r="I31" s="13">
        <v>20</v>
      </c>
      <c r="J31" s="13" t="s">
        <v>118</v>
      </c>
      <c r="K31" s="13">
        <v>0</v>
      </c>
      <c r="L31" s="13">
        <v>0.35</v>
      </c>
      <c r="M31" s="13" t="s">
        <v>120</v>
      </c>
      <c r="N31" s="13" t="s">
        <v>121</v>
      </c>
      <c r="O31" s="13">
        <v>1</v>
      </c>
      <c r="P31" s="14">
        <v>2.2690999999999999</v>
      </c>
      <c r="Q31" s="14">
        <v>0.96609999999999996</v>
      </c>
      <c r="R31" s="13">
        <v>17</v>
      </c>
      <c r="S31" s="14">
        <v>0.98150000000000004</v>
      </c>
      <c r="T31" s="14">
        <v>0.98609999999999998</v>
      </c>
      <c r="U31" s="14">
        <v>0.52490000000000003</v>
      </c>
      <c r="V31" s="14">
        <v>0.1928</v>
      </c>
      <c r="W31" s="13">
        <v>1.278</v>
      </c>
      <c r="X31" s="13">
        <v>28.8</v>
      </c>
      <c r="Y31" s="13" t="s">
        <v>110</v>
      </c>
      <c r="Z31" s="14"/>
      <c r="AA31" s="14"/>
      <c r="AB31" s="13" t="s">
        <v>221</v>
      </c>
      <c r="AC31" s="13" t="s">
        <v>222</v>
      </c>
      <c r="AD31" s="15">
        <f t="shared" si="0"/>
        <v>0.32318985094468666</v>
      </c>
      <c r="AE31" s="15">
        <f t="shared" si="1"/>
        <v>4.5999999999999375E-3</v>
      </c>
      <c r="AF31" s="15">
        <f>IF(OR(V31="",Seeds!$C$8=""),"",V31-Seeds!$C$8)</f>
        <v>-0.66790000000000005</v>
      </c>
      <c r="AG31" s="15" t="str">
        <f>IF(OR(AF31="",Seeds!$C$10=""),"",IF(ABS(AF31)&gt;Seeds!$C$10,"Có","Không"))</f>
        <v>Có</v>
      </c>
    </row>
    <row r="32" spans="1:33" ht="15" customHeight="1" x14ac:dyDescent="0.45">
      <c r="A32" s="13" t="s">
        <v>223</v>
      </c>
      <c r="B32" s="13" t="s">
        <v>212</v>
      </c>
      <c r="C32" s="13" t="s">
        <v>224</v>
      </c>
      <c r="D32" s="13" t="s">
        <v>116</v>
      </c>
      <c r="E32" s="13" t="s">
        <v>117</v>
      </c>
      <c r="F32" s="13">
        <v>9</v>
      </c>
      <c r="G32" s="13">
        <v>0</v>
      </c>
      <c r="H32" s="13">
        <v>512</v>
      </c>
      <c r="I32" s="13">
        <v>20</v>
      </c>
      <c r="J32" s="13" t="s">
        <v>118</v>
      </c>
      <c r="K32" s="13">
        <v>0</v>
      </c>
      <c r="L32" s="13" t="s">
        <v>119</v>
      </c>
      <c r="M32" s="13" t="s">
        <v>120</v>
      </c>
      <c r="N32" s="13" t="s">
        <v>121</v>
      </c>
      <c r="O32" s="13">
        <v>1</v>
      </c>
      <c r="P32" s="14">
        <v>2.2690999999999999</v>
      </c>
      <c r="Q32" s="14">
        <v>1.2172000000000001</v>
      </c>
      <c r="R32" s="13">
        <v>1</v>
      </c>
      <c r="S32" s="14">
        <v>1.4652000000000001</v>
      </c>
      <c r="T32" s="14">
        <v>1.4681</v>
      </c>
      <c r="U32" s="14">
        <v>0.48759999999999998</v>
      </c>
      <c r="V32" s="14">
        <v>9.3600000000000003E-2</v>
      </c>
      <c r="W32" s="13">
        <v>1.252</v>
      </c>
      <c r="X32" s="13">
        <v>28.8</v>
      </c>
      <c r="Y32" s="13" t="s">
        <v>110</v>
      </c>
      <c r="Z32" s="14"/>
      <c r="AA32" s="14"/>
      <c r="AB32" s="13" t="s">
        <v>225</v>
      </c>
      <c r="AC32" s="13" t="s">
        <v>218</v>
      </c>
      <c r="AD32" s="15">
        <f t="shared" si="0"/>
        <v>0.32318985094468666</v>
      </c>
      <c r="AE32" s="15">
        <f t="shared" si="1"/>
        <v>2.8999999999999027E-3</v>
      </c>
      <c r="AF32" s="15">
        <f>IF(OR(V32="",Seeds!$C$8=""),"",V32-Seeds!$C$8)</f>
        <v>-0.7671</v>
      </c>
      <c r="AG32" s="15" t="str">
        <f>IF(OR(AF32="",Seeds!$C$10=""),"",IF(ABS(AF32)&gt;Seeds!$C$10,"Có","Không"))</f>
        <v>Có</v>
      </c>
    </row>
    <row r="33" spans="1:33" ht="15" customHeight="1" x14ac:dyDescent="0.45">
      <c r="A33" s="13" t="s">
        <v>226</v>
      </c>
      <c r="B33" s="13" t="s">
        <v>212</v>
      </c>
      <c r="C33" s="13" t="s">
        <v>227</v>
      </c>
      <c r="D33" s="13" t="s">
        <v>116</v>
      </c>
      <c r="E33" s="13" t="s">
        <v>117</v>
      </c>
      <c r="F33" s="13">
        <v>9</v>
      </c>
      <c r="G33" s="13">
        <v>0</v>
      </c>
      <c r="H33" s="13">
        <v>512</v>
      </c>
      <c r="I33" s="13">
        <v>20</v>
      </c>
      <c r="J33" s="13" t="s">
        <v>118</v>
      </c>
      <c r="K33" s="13">
        <v>0</v>
      </c>
      <c r="L33" s="13">
        <v>0.35</v>
      </c>
      <c r="M33" s="13" t="s">
        <v>120</v>
      </c>
      <c r="N33" s="13" t="s">
        <v>121</v>
      </c>
      <c r="O33" s="13">
        <v>1</v>
      </c>
      <c r="P33" s="14">
        <v>2.2690999999999999</v>
      </c>
      <c r="Q33" s="14">
        <v>1.2156</v>
      </c>
      <c r="R33" s="13">
        <v>2</v>
      </c>
      <c r="S33" s="14">
        <v>1.7157</v>
      </c>
      <c r="T33" s="14">
        <v>1.7151000000000001</v>
      </c>
      <c r="U33" s="14">
        <v>0.48759999999999998</v>
      </c>
      <c r="V33" s="14">
        <v>9.3600000000000003E-2</v>
      </c>
      <c r="W33" s="13">
        <v>1.2629999999999999</v>
      </c>
      <c r="X33" s="13">
        <v>28.8</v>
      </c>
      <c r="Y33" s="13" t="s">
        <v>110</v>
      </c>
      <c r="Z33" s="14"/>
      <c r="AA33" s="14"/>
      <c r="AB33" s="13" t="s">
        <v>228</v>
      </c>
      <c r="AC33" s="13" t="s">
        <v>222</v>
      </c>
      <c r="AD33" s="15">
        <f t="shared" si="0"/>
        <v>0.32318985094468666</v>
      </c>
      <c r="AE33" s="15">
        <f t="shared" si="1"/>
        <v>-5.9999999999993392E-4</v>
      </c>
      <c r="AF33" s="15">
        <f>IF(OR(V33="",Seeds!$C$8=""),"",V33-Seeds!$C$8)</f>
        <v>-0.7671</v>
      </c>
      <c r="AG33" s="15" t="str">
        <f>IF(OR(AF33="",Seeds!$C$10=""),"",IF(ABS(AF33)&gt;Seeds!$C$10,"Có","Không"))</f>
        <v>Có</v>
      </c>
    </row>
    <row r="34" spans="1:33" ht="15" customHeight="1" x14ac:dyDescent="0.45">
      <c r="A34" s="13" t="s">
        <v>229</v>
      </c>
      <c r="B34" s="13" t="s">
        <v>230</v>
      </c>
      <c r="C34" s="13" t="s">
        <v>231</v>
      </c>
      <c r="D34" s="13" t="s">
        <v>116</v>
      </c>
      <c r="E34" s="13" t="s">
        <v>117</v>
      </c>
      <c r="F34" s="13">
        <v>0.3</v>
      </c>
      <c r="G34" s="13">
        <v>0</v>
      </c>
      <c r="H34" s="13">
        <v>512</v>
      </c>
      <c r="I34" s="13">
        <v>20</v>
      </c>
      <c r="J34" s="13" t="s">
        <v>118</v>
      </c>
      <c r="K34" s="13">
        <v>0</v>
      </c>
      <c r="L34" s="13" t="s">
        <v>119</v>
      </c>
      <c r="M34" s="13" t="s">
        <v>232</v>
      </c>
      <c r="N34" s="13" t="s">
        <v>121</v>
      </c>
      <c r="O34" s="13">
        <v>1</v>
      </c>
      <c r="P34" s="14">
        <v>2.2690999999999999</v>
      </c>
      <c r="Q34" s="14">
        <v>0.222</v>
      </c>
      <c r="R34" s="13">
        <v>15</v>
      </c>
      <c r="S34" s="14">
        <v>0.20080000000000001</v>
      </c>
      <c r="T34" s="14">
        <v>0.22370000000000001</v>
      </c>
      <c r="U34" s="14">
        <v>0.91120000000000001</v>
      </c>
      <c r="V34" s="14">
        <v>0.85970000000000002</v>
      </c>
      <c r="W34" s="13">
        <v>1.7350000000000001</v>
      </c>
      <c r="X34" s="13">
        <v>28.8</v>
      </c>
      <c r="Y34" s="13" t="s">
        <v>110</v>
      </c>
      <c r="Z34" s="14"/>
      <c r="AA34" s="14"/>
      <c r="AB34" s="13" t="s">
        <v>233</v>
      </c>
      <c r="AC34" s="13" t="s">
        <v>234</v>
      </c>
      <c r="AD34" s="15">
        <f t="shared" ref="AD34:AD61" si="2">IF(P34="","",P34-LN(7))</f>
        <v>0.32318985094468666</v>
      </c>
      <c r="AE34" s="15">
        <f t="shared" ref="AE34:AE61" si="3">IF(OR(T34="",S34=""),"",T34-S34)</f>
        <v>2.2900000000000004E-2</v>
      </c>
      <c r="AF34" s="15">
        <f>IF(OR(V34="",Seeds!$C$8=""),"",V34-Seeds!$C$8)</f>
        <v>-1.0000000000000009E-3</v>
      </c>
      <c r="AG34" s="15" t="str">
        <f>IF(OR(AF34="",Seeds!$C$10=""),"",IF(ABS(AF34)&gt;Seeds!$C$10,"Có","Không"))</f>
        <v>Không</v>
      </c>
    </row>
    <row r="35" spans="1:33" ht="15" customHeight="1" x14ac:dyDescent="0.45">
      <c r="A35" s="13" t="s">
        <v>235</v>
      </c>
      <c r="B35" s="13" t="s">
        <v>230</v>
      </c>
      <c r="C35" s="13" t="s">
        <v>236</v>
      </c>
      <c r="D35" s="13" t="s">
        <v>116</v>
      </c>
      <c r="E35" s="13" t="s">
        <v>117</v>
      </c>
      <c r="F35" s="13">
        <v>0.3</v>
      </c>
      <c r="G35" s="13">
        <v>0</v>
      </c>
      <c r="H35" s="13">
        <v>512</v>
      </c>
      <c r="I35" s="13">
        <v>20</v>
      </c>
      <c r="J35" s="13" t="s">
        <v>118</v>
      </c>
      <c r="K35" s="13">
        <v>0</v>
      </c>
      <c r="L35" s="13" t="s">
        <v>119</v>
      </c>
      <c r="M35" s="13" t="s">
        <v>237</v>
      </c>
      <c r="N35" s="13" t="s">
        <v>121</v>
      </c>
      <c r="O35" s="13">
        <v>1</v>
      </c>
      <c r="P35" s="14">
        <v>2.2690999999999999</v>
      </c>
      <c r="Q35" s="14">
        <v>0.22500000000000001</v>
      </c>
      <c r="R35" s="13">
        <v>20</v>
      </c>
      <c r="S35" s="14">
        <v>0.20200000000000001</v>
      </c>
      <c r="T35" s="14">
        <v>0.22500000000000001</v>
      </c>
      <c r="U35" s="14">
        <v>0.91020000000000001</v>
      </c>
      <c r="V35" s="14">
        <v>0.85199999999999998</v>
      </c>
      <c r="W35" s="13">
        <v>1.5449999999999999</v>
      </c>
      <c r="X35" s="13">
        <v>28.8</v>
      </c>
      <c r="Y35" s="13" t="s">
        <v>110</v>
      </c>
      <c r="Z35" s="14"/>
      <c r="AA35" s="14"/>
      <c r="AB35" s="13" t="s">
        <v>238</v>
      </c>
      <c r="AC35" s="13" t="s">
        <v>234</v>
      </c>
      <c r="AD35" s="15">
        <f t="shared" si="2"/>
        <v>0.32318985094468666</v>
      </c>
      <c r="AE35" s="15">
        <f t="shared" si="3"/>
        <v>2.2999999999999993E-2</v>
      </c>
      <c r="AF35" s="15">
        <f>IF(OR(V35="",Seeds!$C$8=""),"",V35-Seeds!$C$8)</f>
        <v>-8.700000000000041E-3</v>
      </c>
      <c r="AG35" s="15" t="str">
        <f>IF(OR(AF35="",Seeds!$C$10=""),"",IF(ABS(AF35)&gt;Seeds!$C$10,"Có","Không"))</f>
        <v>Có</v>
      </c>
    </row>
    <row r="36" spans="1:33" ht="15" customHeight="1" x14ac:dyDescent="0.45">
      <c r="A36" s="13" t="s">
        <v>239</v>
      </c>
      <c r="B36" s="13" t="s">
        <v>230</v>
      </c>
      <c r="C36" s="13" t="s">
        <v>240</v>
      </c>
      <c r="D36" s="13" t="s">
        <v>116</v>
      </c>
      <c r="E36" s="13" t="s">
        <v>117</v>
      </c>
      <c r="F36" s="13">
        <v>0.3</v>
      </c>
      <c r="G36" s="13">
        <v>0</v>
      </c>
      <c r="H36" s="13">
        <v>512</v>
      </c>
      <c r="I36" s="13">
        <v>20</v>
      </c>
      <c r="J36" s="13" t="s">
        <v>193</v>
      </c>
      <c r="K36" s="13">
        <v>0</v>
      </c>
      <c r="L36" s="13" t="s">
        <v>119</v>
      </c>
      <c r="M36" s="13" t="s">
        <v>232</v>
      </c>
      <c r="N36" s="13" t="s">
        <v>121</v>
      </c>
      <c r="O36" s="13">
        <v>1</v>
      </c>
      <c r="P36" s="14">
        <v>1.9181999999999999</v>
      </c>
      <c r="Q36" s="14">
        <v>0.19409999999999999</v>
      </c>
      <c r="R36" s="13">
        <v>20</v>
      </c>
      <c r="S36" s="14">
        <v>0.16220000000000001</v>
      </c>
      <c r="T36" s="14">
        <v>0.19409999999999999</v>
      </c>
      <c r="U36" s="14">
        <v>0.92469999999999997</v>
      </c>
      <c r="V36" s="14">
        <v>0.87450000000000006</v>
      </c>
      <c r="W36" s="13">
        <v>1.7250000000000001</v>
      </c>
      <c r="X36" s="13">
        <v>46.1</v>
      </c>
      <c r="Y36" s="13" t="s">
        <v>110</v>
      </c>
      <c r="Z36" s="14"/>
      <c r="AA36" s="14"/>
      <c r="AB36" s="13" t="s">
        <v>241</v>
      </c>
      <c r="AC36" s="13" t="s">
        <v>242</v>
      </c>
      <c r="AD36" s="15">
        <f t="shared" si="2"/>
        <v>-2.7710149055313327E-2</v>
      </c>
      <c r="AE36" s="15">
        <f t="shared" si="3"/>
        <v>3.1899999999999984E-2</v>
      </c>
      <c r="AF36" s="15">
        <f>IF(OR(V36="",Seeds!$C$8=""),"",V36-Seeds!$C$8)</f>
        <v>1.3800000000000034E-2</v>
      </c>
      <c r="AG36" s="15" t="str">
        <f>IF(OR(AF36="",Seeds!$C$10=""),"",IF(ABS(AF36)&gt;Seeds!$C$10,"Có","Không"))</f>
        <v>Có</v>
      </c>
    </row>
    <row r="37" spans="1:33" ht="15" customHeight="1" x14ac:dyDescent="0.45">
      <c r="A37" s="13" t="s">
        <v>243</v>
      </c>
      <c r="B37" s="13" t="s">
        <v>53</v>
      </c>
      <c r="C37" s="13" t="s">
        <v>244</v>
      </c>
      <c r="D37" s="13" t="s">
        <v>116</v>
      </c>
      <c r="E37" s="13" t="s">
        <v>117</v>
      </c>
      <c r="F37" s="13">
        <v>0.3</v>
      </c>
      <c r="G37" s="13">
        <v>0</v>
      </c>
      <c r="H37" s="13">
        <v>512</v>
      </c>
      <c r="I37" s="13">
        <v>20</v>
      </c>
      <c r="J37" s="13" t="s">
        <v>118</v>
      </c>
      <c r="K37" s="13">
        <v>0</v>
      </c>
      <c r="L37" s="13" t="s">
        <v>119</v>
      </c>
      <c r="M37" s="13" t="s">
        <v>120</v>
      </c>
      <c r="N37" s="13" t="s">
        <v>245</v>
      </c>
      <c r="O37" s="13">
        <v>1</v>
      </c>
      <c r="P37" s="14">
        <v>1.9459</v>
      </c>
      <c r="Q37" s="14">
        <v>1.2053</v>
      </c>
      <c r="R37" s="13">
        <v>16</v>
      </c>
      <c r="S37" s="14">
        <v>1.2044999999999999</v>
      </c>
      <c r="T37" s="14">
        <v>1.2062999999999999</v>
      </c>
      <c r="U37" s="14">
        <v>0.48759999999999998</v>
      </c>
      <c r="V37" s="14">
        <v>9.3600000000000003E-2</v>
      </c>
      <c r="W37" s="13">
        <v>1.262</v>
      </c>
      <c r="X37" s="13">
        <v>28.8</v>
      </c>
      <c r="Y37" s="13" t="s">
        <v>110</v>
      </c>
      <c r="Z37" s="14"/>
      <c r="AA37" s="14"/>
      <c r="AB37" s="13" t="s">
        <v>246</v>
      </c>
      <c r="AC37" s="13"/>
      <c r="AD37" s="15">
        <f t="shared" si="2"/>
        <v>-1.0149055313268818E-5</v>
      </c>
      <c r="AE37" s="15">
        <f t="shared" si="3"/>
        <v>1.8000000000000238E-3</v>
      </c>
      <c r="AF37" s="15">
        <f>IF(OR(V37="",Seeds!$C$8=""),"",V37-Seeds!$C$8)</f>
        <v>-0.7671</v>
      </c>
      <c r="AG37" s="15" t="str">
        <f>IF(OR(AF37="",Seeds!$C$10=""),"",IF(ABS(AF37)&gt;Seeds!$C$10,"Có","Không"))</f>
        <v>Có</v>
      </c>
    </row>
    <row r="38" spans="1:33" ht="15" customHeight="1" x14ac:dyDescent="0.45">
      <c r="A38" s="13" t="s">
        <v>247</v>
      </c>
      <c r="B38" s="13" t="s">
        <v>53</v>
      </c>
      <c r="C38" s="13" t="s">
        <v>248</v>
      </c>
      <c r="D38" s="13" t="s">
        <v>116</v>
      </c>
      <c r="E38" s="13" t="s">
        <v>117</v>
      </c>
      <c r="F38" s="13">
        <v>0.3</v>
      </c>
      <c r="G38" s="13">
        <v>0</v>
      </c>
      <c r="H38" s="13">
        <v>512</v>
      </c>
      <c r="I38" s="13">
        <v>20</v>
      </c>
      <c r="J38" s="13" t="s">
        <v>118</v>
      </c>
      <c r="K38" s="13">
        <v>0</v>
      </c>
      <c r="L38" s="13" t="s">
        <v>119</v>
      </c>
      <c r="M38" s="13" t="s">
        <v>120</v>
      </c>
      <c r="N38" s="13" t="s">
        <v>249</v>
      </c>
      <c r="O38" s="13">
        <v>1</v>
      </c>
      <c r="P38" s="14">
        <v>1.946</v>
      </c>
      <c r="Q38" s="14">
        <v>0.22040000000000001</v>
      </c>
      <c r="R38" s="13">
        <v>20</v>
      </c>
      <c r="S38" s="14">
        <v>0.19350000000000001</v>
      </c>
      <c r="T38" s="14">
        <v>0.22040000000000001</v>
      </c>
      <c r="U38" s="14">
        <v>0.91369999999999996</v>
      </c>
      <c r="V38" s="14">
        <v>0.8609</v>
      </c>
      <c r="W38" s="13">
        <v>1.264</v>
      </c>
      <c r="X38" s="13">
        <v>28.8</v>
      </c>
      <c r="Y38" s="13" t="s">
        <v>110</v>
      </c>
      <c r="Z38" s="14"/>
      <c r="AA38" s="14"/>
      <c r="AB38" s="13" t="s">
        <v>250</v>
      </c>
      <c r="AC38" s="13"/>
      <c r="AD38" s="15">
        <f t="shared" si="2"/>
        <v>8.9850944686720169E-5</v>
      </c>
      <c r="AE38" s="15">
        <f t="shared" si="3"/>
        <v>2.6900000000000007E-2</v>
      </c>
      <c r="AF38" s="15">
        <f>IF(OR(V38="",Seeds!$C$8=""),"",V38-Seeds!$C$8)</f>
        <v>1.9999999999997797E-4</v>
      </c>
      <c r="AG38" s="15" t="str">
        <f>IF(OR(AF38="",Seeds!$C$10=""),"",IF(ABS(AF38)&gt;Seeds!$C$10,"Có","Không"))</f>
        <v>Không</v>
      </c>
    </row>
    <row r="39" spans="1:33" ht="15" customHeight="1" x14ac:dyDescent="0.45">
      <c r="A39" s="13" t="s">
        <v>251</v>
      </c>
      <c r="B39" s="13" t="s">
        <v>53</v>
      </c>
      <c r="C39" s="13" t="s">
        <v>252</v>
      </c>
      <c r="D39" s="13" t="s">
        <v>116</v>
      </c>
      <c r="E39" s="13" t="s">
        <v>117</v>
      </c>
      <c r="F39" s="13">
        <v>0.3</v>
      </c>
      <c r="G39" s="13">
        <v>0</v>
      </c>
      <c r="H39" s="13">
        <v>512</v>
      </c>
      <c r="I39" s="13">
        <v>20</v>
      </c>
      <c r="J39" s="13" t="s">
        <v>118</v>
      </c>
      <c r="K39" s="13">
        <v>0</v>
      </c>
      <c r="L39" s="13" t="s">
        <v>119</v>
      </c>
      <c r="M39" s="13" t="s">
        <v>120</v>
      </c>
      <c r="N39" s="13" t="s">
        <v>253</v>
      </c>
      <c r="O39" s="13">
        <v>1</v>
      </c>
      <c r="P39" s="14">
        <v>2.0222000000000002</v>
      </c>
      <c r="Q39" s="14">
        <v>0.22359999999999999</v>
      </c>
      <c r="R39" s="13">
        <v>18</v>
      </c>
      <c r="S39" s="14">
        <v>0.20200000000000001</v>
      </c>
      <c r="T39" s="14">
        <v>0.22889999999999999</v>
      </c>
      <c r="U39" s="14">
        <v>0.90959999999999996</v>
      </c>
      <c r="V39" s="14">
        <v>0.85019999999999996</v>
      </c>
      <c r="W39" s="13">
        <v>1.2430000000000001</v>
      </c>
      <c r="X39" s="13">
        <v>28.8</v>
      </c>
      <c r="Y39" s="13" t="s">
        <v>110</v>
      </c>
      <c r="Z39" s="14"/>
      <c r="AA39" s="14"/>
      <c r="AB39" s="13" t="s">
        <v>254</v>
      </c>
      <c r="AC39" s="13"/>
      <c r="AD39" s="15">
        <f t="shared" si="2"/>
        <v>7.6289850944686988E-2</v>
      </c>
      <c r="AE39" s="15">
        <f t="shared" si="3"/>
        <v>2.6899999999999979E-2</v>
      </c>
      <c r="AF39" s="15">
        <f>IF(OR(V39="",Seeds!$C$8=""),"",V39-Seeds!$C$8)</f>
        <v>-1.0500000000000065E-2</v>
      </c>
      <c r="AG39" s="15" t="str">
        <f>IF(OR(AF39="",Seeds!$C$10=""),"",IF(ABS(AF39)&gt;Seeds!$C$10,"Có","Không"))</f>
        <v>Có</v>
      </c>
    </row>
    <row r="40" spans="1:33" ht="15" customHeight="1" x14ac:dyDescent="0.45">
      <c r="A40" s="13" t="s">
        <v>255</v>
      </c>
      <c r="B40" s="13" t="s">
        <v>53</v>
      </c>
      <c r="C40" s="13" t="s">
        <v>256</v>
      </c>
      <c r="D40" s="13" t="s">
        <v>116</v>
      </c>
      <c r="E40" s="13" t="s">
        <v>117</v>
      </c>
      <c r="F40" s="13">
        <v>0.3</v>
      </c>
      <c r="G40" s="13">
        <v>0</v>
      </c>
      <c r="H40" s="13">
        <v>512</v>
      </c>
      <c r="I40" s="13">
        <v>20</v>
      </c>
      <c r="J40" s="13" t="s">
        <v>118</v>
      </c>
      <c r="K40" s="13">
        <v>0</v>
      </c>
      <c r="L40" s="13" t="s">
        <v>119</v>
      </c>
      <c r="M40" s="13" t="s">
        <v>120</v>
      </c>
      <c r="N40" s="13" t="s">
        <v>257</v>
      </c>
      <c r="O40" s="13">
        <v>1</v>
      </c>
      <c r="P40" s="14">
        <v>1.9830000000000001</v>
      </c>
      <c r="Q40" s="14">
        <v>0.217</v>
      </c>
      <c r="R40" s="13">
        <v>20</v>
      </c>
      <c r="S40" s="14">
        <v>0.18890000000000001</v>
      </c>
      <c r="T40" s="14">
        <v>0.217</v>
      </c>
      <c r="U40" s="14">
        <v>0.91449999999999998</v>
      </c>
      <c r="V40" s="14">
        <v>0.86370000000000002</v>
      </c>
      <c r="W40" s="13">
        <v>1.2470000000000001</v>
      </c>
      <c r="X40" s="13">
        <v>28.8</v>
      </c>
      <c r="Y40" s="13" t="s">
        <v>110</v>
      </c>
      <c r="Z40" s="14"/>
      <c r="AA40" s="14"/>
      <c r="AB40" s="13" t="s">
        <v>258</v>
      </c>
      <c r="AC40" s="13"/>
      <c r="AD40" s="15">
        <f t="shared" si="2"/>
        <v>3.7089850944686864E-2</v>
      </c>
      <c r="AE40" s="15">
        <f t="shared" si="3"/>
        <v>2.8099999999999986E-2</v>
      </c>
      <c r="AF40" s="15">
        <f>IF(OR(V40="",Seeds!$C$8=""),"",V40-Seeds!$C$8)</f>
        <v>3.0000000000000027E-3</v>
      </c>
      <c r="AG40" s="15" t="str">
        <f>IF(OR(AF40="",Seeds!$C$10=""),"",IF(ABS(AF40)&gt;Seeds!$C$10,"Có","Không"))</f>
        <v>Không</v>
      </c>
    </row>
    <row r="41" spans="1:33" ht="15" customHeight="1" x14ac:dyDescent="0.45">
      <c r="A41" s="13" t="s">
        <v>259</v>
      </c>
      <c r="B41" s="13" t="s">
        <v>260</v>
      </c>
      <c r="C41" s="13" t="s">
        <v>261</v>
      </c>
      <c r="D41" s="13" t="s">
        <v>116</v>
      </c>
      <c r="E41" s="13" t="s">
        <v>109</v>
      </c>
      <c r="F41" s="13">
        <v>3.0000000000000001E-3</v>
      </c>
      <c r="G41" s="13">
        <v>0</v>
      </c>
      <c r="H41" s="13">
        <v>512</v>
      </c>
      <c r="I41" s="13">
        <v>40</v>
      </c>
      <c r="J41" s="13" t="s">
        <v>193</v>
      </c>
      <c r="K41" s="13">
        <v>0</v>
      </c>
      <c r="L41" s="13" t="s">
        <v>119</v>
      </c>
      <c r="M41" s="13" t="s">
        <v>120</v>
      </c>
      <c r="N41" s="13" t="s">
        <v>121</v>
      </c>
      <c r="O41" s="13">
        <v>1</v>
      </c>
      <c r="P41" s="14">
        <v>1.9181999999999999</v>
      </c>
      <c r="Q41" s="14">
        <v>0.1578</v>
      </c>
      <c r="R41" s="13">
        <v>33</v>
      </c>
      <c r="S41" s="14">
        <v>0.1137</v>
      </c>
      <c r="T41" s="14">
        <v>0.16139999999999999</v>
      </c>
      <c r="U41" s="14">
        <v>0.94020000000000004</v>
      </c>
      <c r="V41" s="14">
        <v>0.9052</v>
      </c>
      <c r="W41" s="13">
        <v>1.427</v>
      </c>
      <c r="X41" s="13">
        <v>46.8</v>
      </c>
      <c r="Y41" s="13" t="s">
        <v>110</v>
      </c>
      <c r="Z41" s="14"/>
      <c r="AA41" s="14"/>
      <c r="AB41" s="13" t="s">
        <v>262</v>
      </c>
      <c r="AC41" s="13" t="s">
        <v>263</v>
      </c>
      <c r="AD41" s="15">
        <f t="shared" si="2"/>
        <v>-2.7710149055313327E-2</v>
      </c>
      <c r="AE41" s="15">
        <f t="shared" si="3"/>
        <v>4.7699999999999992E-2</v>
      </c>
      <c r="AF41" s="15">
        <f>IF(OR(V41="",Seeds!$C$8=""),"",V41-Seeds!$C$8)</f>
        <v>4.4499999999999984E-2</v>
      </c>
      <c r="AG41" s="15" t="str">
        <f>IF(OR(AF41="",Seeds!$C$10=""),"",IF(ABS(AF41)&gt;Seeds!$C$10,"Có","Không"))</f>
        <v>Có</v>
      </c>
    </row>
    <row r="42" spans="1:33" ht="15" customHeight="1" x14ac:dyDescent="0.45">
      <c r="A42" s="13" t="s">
        <v>264</v>
      </c>
      <c r="B42" s="13" t="s">
        <v>260</v>
      </c>
      <c r="C42" s="13" t="s">
        <v>265</v>
      </c>
      <c r="D42" s="13" t="s">
        <v>116</v>
      </c>
      <c r="E42" s="13" t="s">
        <v>109</v>
      </c>
      <c r="F42" s="13">
        <v>3.0000000000000001E-3</v>
      </c>
      <c r="G42" s="13">
        <v>0</v>
      </c>
      <c r="H42" s="13">
        <v>512</v>
      </c>
      <c r="I42" s="13">
        <v>40</v>
      </c>
      <c r="J42" s="13" t="s">
        <v>197</v>
      </c>
      <c r="K42" s="13">
        <v>0</v>
      </c>
      <c r="L42" s="13" t="s">
        <v>119</v>
      </c>
      <c r="M42" s="13" t="s">
        <v>120</v>
      </c>
      <c r="N42" s="13" t="s">
        <v>121</v>
      </c>
      <c r="O42" s="13">
        <v>1</v>
      </c>
      <c r="P42" s="14">
        <v>1.9098999999999999</v>
      </c>
      <c r="Q42" s="14">
        <v>0.1641</v>
      </c>
      <c r="R42" s="13">
        <v>38</v>
      </c>
      <c r="S42" s="14">
        <v>0.1237</v>
      </c>
      <c r="T42" s="14">
        <v>0.16800000000000001</v>
      </c>
      <c r="U42" s="14">
        <v>0.93700000000000006</v>
      </c>
      <c r="V42" s="14">
        <v>0.89459999999999995</v>
      </c>
      <c r="W42" s="13">
        <v>1.6220000000000001</v>
      </c>
      <c r="X42" s="13">
        <v>29.1</v>
      </c>
      <c r="Y42" s="13" t="s">
        <v>110</v>
      </c>
      <c r="Z42" s="14"/>
      <c r="AA42" s="14"/>
      <c r="AB42" s="13" t="s">
        <v>266</v>
      </c>
      <c r="AC42" s="13" t="s">
        <v>263</v>
      </c>
      <c r="AD42" s="15">
        <f t="shared" si="2"/>
        <v>-3.6010149055313301E-2</v>
      </c>
      <c r="AE42" s="15">
        <f t="shared" si="3"/>
        <v>4.4300000000000006E-2</v>
      </c>
      <c r="AF42" s="15">
        <f>IF(OR(V42="",Seeds!$C$8=""),"",V42-Seeds!$C$8)</f>
        <v>3.389999999999993E-2</v>
      </c>
      <c r="AG42" s="15" t="str">
        <f>IF(OR(AF42="",Seeds!$C$10=""),"",IF(ABS(AF42)&gt;Seeds!$C$10,"Có","Không"))</f>
        <v>Có</v>
      </c>
    </row>
    <row r="43" spans="1:33" ht="15" customHeight="1" x14ac:dyDescent="0.45">
      <c r="A43" s="13" t="s">
        <v>267</v>
      </c>
      <c r="B43" s="13" t="s">
        <v>260</v>
      </c>
      <c r="C43" s="13" t="s">
        <v>268</v>
      </c>
      <c r="D43" s="13" t="s">
        <v>116</v>
      </c>
      <c r="E43" s="13" t="s">
        <v>109</v>
      </c>
      <c r="F43" s="13">
        <v>3.0000000000000001E-3</v>
      </c>
      <c r="G43" s="13">
        <v>0</v>
      </c>
      <c r="H43" s="13">
        <v>512</v>
      </c>
      <c r="I43" s="13">
        <v>40</v>
      </c>
      <c r="J43" s="13" t="s">
        <v>193</v>
      </c>
      <c r="K43" s="13">
        <v>0</v>
      </c>
      <c r="L43" s="13" t="s">
        <v>119</v>
      </c>
      <c r="M43" s="13" t="s">
        <v>120</v>
      </c>
      <c r="N43" s="13" t="s">
        <v>121</v>
      </c>
      <c r="O43" s="13">
        <v>1</v>
      </c>
      <c r="P43" s="14">
        <v>1.9181999999999999</v>
      </c>
      <c r="Q43" s="14">
        <v>0.1231</v>
      </c>
      <c r="R43" s="13">
        <v>39</v>
      </c>
      <c r="S43" s="14">
        <v>6.9599999999999995E-2</v>
      </c>
      <c r="T43" s="14">
        <v>0.1231</v>
      </c>
      <c r="U43" s="14">
        <v>0.95409999999999995</v>
      </c>
      <c r="V43" s="14">
        <v>0.92669999999999997</v>
      </c>
      <c r="W43" s="13">
        <v>1.448</v>
      </c>
      <c r="X43" s="13">
        <v>46.8</v>
      </c>
      <c r="Y43" s="13" t="s">
        <v>110</v>
      </c>
      <c r="Z43" s="14">
        <v>0.95309999999999995</v>
      </c>
      <c r="AA43" s="14">
        <v>0.9294</v>
      </c>
      <c r="AB43" s="13" t="s">
        <v>269</v>
      </c>
      <c r="AC43" s="13" t="s">
        <v>270</v>
      </c>
      <c r="AD43" s="15">
        <f t="shared" si="2"/>
        <v>-2.7710149055313327E-2</v>
      </c>
      <c r="AE43" s="15">
        <f t="shared" si="3"/>
        <v>5.3500000000000006E-2</v>
      </c>
      <c r="AF43" s="15">
        <f>IF(OR(V43="",Seeds!$C$8=""),"",V43-Seeds!$C$8)</f>
        <v>6.5999999999999948E-2</v>
      </c>
      <c r="AG43" s="15" t="str">
        <f>IF(OR(AF43="",Seeds!$C$10=""),"",IF(ABS(AF43)&gt;Seeds!$C$10,"Có","Không"))</f>
        <v>Có</v>
      </c>
    </row>
    <row r="44" spans="1:33" ht="15" customHeight="1" x14ac:dyDescent="0.45">
      <c r="A44" s="13" t="s">
        <v>271</v>
      </c>
      <c r="B44" s="13" t="s">
        <v>260</v>
      </c>
      <c r="C44" s="13" t="s">
        <v>272</v>
      </c>
      <c r="D44" s="13" t="s">
        <v>116</v>
      </c>
      <c r="E44" s="13" t="s">
        <v>109</v>
      </c>
      <c r="F44" s="13">
        <v>3.0000000000000001E-3</v>
      </c>
      <c r="G44" s="13">
        <v>0</v>
      </c>
      <c r="H44" s="13">
        <v>512</v>
      </c>
      <c r="I44" s="13">
        <v>40</v>
      </c>
      <c r="J44" s="13" t="s">
        <v>193</v>
      </c>
      <c r="K44" s="13">
        <v>0</v>
      </c>
      <c r="L44" s="13" t="s">
        <v>119</v>
      </c>
      <c r="M44" s="13" t="s">
        <v>120</v>
      </c>
      <c r="N44" s="13" t="s">
        <v>121</v>
      </c>
      <c r="O44" s="13">
        <v>2</v>
      </c>
      <c r="P44" s="14">
        <v>2.6520000000000001</v>
      </c>
      <c r="Q44" s="14">
        <v>0.12540000000000001</v>
      </c>
      <c r="R44" s="13">
        <v>40</v>
      </c>
      <c r="S44" s="14">
        <v>7.2400000000000006E-2</v>
      </c>
      <c r="T44" s="14">
        <v>0.12540000000000001</v>
      </c>
      <c r="U44" s="14">
        <v>0.95320000000000005</v>
      </c>
      <c r="V44" s="14">
        <v>0.9254</v>
      </c>
      <c r="W44" s="13">
        <v>1.464</v>
      </c>
      <c r="X44" s="13">
        <v>46.8</v>
      </c>
      <c r="Y44" s="13" t="s">
        <v>110</v>
      </c>
      <c r="Z44" s="14"/>
      <c r="AA44" s="14"/>
      <c r="AB44" s="13" t="s">
        <v>273</v>
      </c>
      <c r="AC44" s="13" t="s">
        <v>274</v>
      </c>
      <c r="AD44" s="15">
        <f t="shared" si="2"/>
        <v>0.7060898509446869</v>
      </c>
      <c r="AE44" s="15">
        <f t="shared" si="3"/>
        <v>5.3000000000000005E-2</v>
      </c>
      <c r="AF44" s="15">
        <f>IF(OR(V44="",Seeds!$C$8=""),"",V44-Seeds!$C$8)</f>
        <v>6.469999999999998E-2</v>
      </c>
      <c r="AG44" s="15" t="str">
        <f>IF(OR(AF44="",Seeds!$C$10=""),"",IF(ABS(AF44)&gt;Seeds!$C$10,"Có","Không"))</f>
        <v>Có</v>
      </c>
    </row>
    <row r="45" spans="1:33" ht="15" customHeight="1" x14ac:dyDescent="0.45">
      <c r="A45" s="13" t="s">
        <v>275</v>
      </c>
      <c r="B45" s="13" t="s">
        <v>260</v>
      </c>
      <c r="C45" s="13" t="s">
        <v>276</v>
      </c>
      <c r="D45" s="13" t="s">
        <v>116</v>
      </c>
      <c r="E45" s="13" t="s">
        <v>109</v>
      </c>
      <c r="F45" s="13">
        <v>3.0000000000000001E-3</v>
      </c>
      <c r="G45" s="13">
        <v>0</v>
      </c>
      <c r="H45" s="13">
        <v>512</v>
      </c>
      <c r="I45" s="13">
        <v>40</v>
      </c>
      <c r="J45" s="13" t="s">
        <v>193</v>
      </c>
      <c r="K45" s="13">
        <v>0</v>
      </c>
      <c r="L45" s="13" t="s">
        <v>119</v>
      </c>
      <c r="M45" s="13" t="s">
        <v>120</v>
      </c>
      <c r="N45" s="13" t="s">
        <v>121</v>
      </c>
      <c r="O45" s="13">
        <v>3</v>
      </c>
      <c r="P45" s="14">
        <v>2.7881999999999998</v>
      </c>
      <c r="Q45" s="14">
        <v>0.125</v>
      </c>
      <c r="R45" s="13">
        <v>40</v>
      </c>
      <c r="S45" s="14">
        <v>7.1599999999999997E-2</v>
      </c>
      <c r="T45" s="14">
        <v>0.125</v>
      </c>
      <c r="U45" s="14">
        <v>0.9536</v>
      </c>
      <c r="V45" s="14">
        <v>0.92720000000000002</v>
      </c>
      <c r="W45" s="13">
        <v>1.48</v>
      </c>
      <c r="X45" s="13">
        <v>46.8</v>
      </c>
      <c r="Y45" s="13" t="s">
        <v>110</v>
      </c>
      <c r="Z45" s="14"/>
      <c r="AA45" s="14"/>
      <c r="AB45" s="13" t="s">
        <v>277</v>
      </c>
      <c r="AC45" s="13" t="s">
        <v>274</v>
      </c>
      <c r="AD45" s="15">
        <f t="shared" si="2"/>
        <v>0.84228985094468656</v>
      </c>
      <c r="AE45" s="15">
        <f t="shared" si="3"/>
        <v>5.3400000000000003E-2</v>
      </c>
      <c r="AF45" s="15">
        <f>IF(OR(V45="",Seeds!$C$8=""),"",V45-Seeds!$C$8)</f>
        <v>6.6500000000000004E-2</v>
      </c>
      <c r="AG45" s="15" t="str">
        <f>IF(OR(AF45="",Seeds!$C$10=""),"",IF(ABS(AF45)&gt;Seeds!$C$10,"Có","Không"))</f>
        <v>Có</v>
      </c>
    </row>
    <row r="46" spans="1:33" ht="15" customHeight="1" x14ac:dyDescent="0.4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4"/>
      <c r="Q46" s="14"/>
      <c r="R46" s="13"/>
      <c r="S46" s="14"/>
      <c r="T46" s="14"/>
      <c r="U46" s="14"/>
      <c r="V46" s="14"/>
      <c r="W46" s="13"/>
      <c r="X46" s="13"/>
      <c r="Y46" s="13"/>
      <c r="Z46" s="14"/>
      <c r="AA46" s="14"/>
      <c r="AB46" s="13"/>
      <c r="AC46" s="13"/>
      <c r="AD46" s="15" t="str">
        <f t="shared" si="2"/>
        <v/>
      </c>
      <c r="AE46" s="15" t="str">
        <f t="shared" si="3"/>
        <v/>
      </c>
      <c r="AF46" s="15" t="str">
        <f>IF(OR(V46="",Seeds!$C$8=""),"",V46-Seeds!$C$8)</f>
        <v/>
      </c>
      <c r="AG46" s="15" t="str">
        <f>IF(OR(AF46="",Seeds!$C$10=""),"",IF(ABS(AF46)&gt;Seeds!$C$10,"Có","Không"))</f>
        <v/>
      </c>
    </row>
    <row r="47" spans="1:33" ht="15" customHeight="1" x14ac:dyDescent="0.4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4"/>
      <c r="Q47" s="14"/>
      <c r="R47" s="13"/>
      <c r="S47" s="14"/>
      <c r="T47" s="14"/>
      <c r="U47" s="14"/>
      <c r="V47" s="14"/>
      <c r="W47" s="13"/>
      <c r="X47" s="13"/>
      <c r="Y47" s="13"/>
      <c r="Z47" s="14"/>
      <c r="AA47" s="14"/>
      <c r="AB47" s="13"/>
      <c r="AC47" s="13"/>
      <c r="AD47" s="15" t="str">
        <f t="shared" si="2"/>
        <v/>
      </c>
      <c r="AE47" s="15" t="str">
        <f t="shared" si="3"/>
        <v/>
      </c>
      <c r="AF47" s="15" t="str">
        <f>IF(OR(V47="",Seeds!$C$8=""),"",V47-Seeds!$C$8)</f>
        <v/>
      </c>
      <c r="AG47" s="15" t="str">
        <f>IF(OR(AF47="",Seeds!$C$10=""),"",IF(ABS(AF47)&gt;Seeds!$C$10,"Có","Không"))</f>
        <v/>
      </c>
    </row>
    <row r="48" spans="1:33" ht="15" customHeight="1" x14ac:dyDescent="0.4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4"/>
      <c r="Q48" s="14"/>
      <c r="R48" s="13"/>
      <c r="S48" s="14"/>
      <c r="T48" s="14"/>
      <c r="U48" s="14"/>
      <c r="V48" s="14"/>
      <c r="W48" s="13"/>
      <c r="X48" s="13"/>
      <c r="Y48" s="13"/>
      <c r="Z48" s="14"/>
      <c r="AA48" s="14"/>
      <c r="AB48" s="13"/>
      <c r="AC48" s="13"/>
      <c r="AD48" s="15" t="str">
        <f t="shared" si="2"/>
        <v/>
      </c>
      <c r="AE48" s="15" t="str">
        <f t="shared" si="3"/>
        <v/>
      </c>
      <c r="AF48" s="15" t="str">
        <f>IF(OR(V48="",Seeds!$C$8=""),"",V48-Seeds!$C$8)</f>
        <v/>
      </c>
      <c r="AG48" s="15" t="str">
        <f>IF(OR(AF48="",Seeds!$C$10=""),"",IF(ABS(AF48)&gt;Seeds!$C$10,"Có","Không"))</f>
        <v/>
      </c>
    </row>
    <row r="49" spans="1:33" ht="15" customHeight="1" x14ac:dyDescent="0.4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4"/>
      <c r="Q49" s="14"/>
      <c r="R49" s="13"/>
      <c r="S49" s="14"/>
      <c r="T49" s="14"/>
      <c r="U49" s="14"/>
      <c r="V49" s="14"/>
      <c r="W49" s="13"/>
      <c r="X49" s="13"/>
      <c r="Y49" s="13"/>
      <c r="Z49" s="14"/>
      <c r="AA49" s="14"/>
      <c r="AB49" s="13"/>
      <c r="AC49" s="13"/>
      <c r="AD49" s="15" t="str">
        <f t="shared" si="2"/>
        <v/>
      </c>
      <c r="AE49" s="15" t="str">
        <f t="shared" si="3"/>
        <v/>
      </c>
      <c r="AF49" s="15" t="str">
        <f>IF(OR(V49="",Seeds!$C$8=""),"",V49-Seeds!$C$8)</f>
        <v/>
      </c>
      <c r="AG49" s="15" t="str">
        <f>IF(OR(AF49="",Seeds!$C$10=""),"",IF(ABS(AF49)&gt;Seeds!$C$10,"Có","Không"))</f>
        <v/>
      </c>
    </row>
    <row r="50" spans="1:33" ht="15" customHeight="1" x14ac:dyDescent="0.4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  <c r="Q50" s="14"/>
      <c r="R50" s="13"/>
      <c r="S50" s="14"/>
      <c r="T50" s="14"/>
      <c r="U50" s="14"/>
      <c r="V50" s="14"/>
      <c r="W50" s="13"/>
      <c r="X50" s="13"/>
      <c r="Y50" s="13"/>
      <c r="Z50" s="14"/>
      <c r="AA50" s="14"/>
      <c r="AB50" s="13"/>
      <c r="AC50" s="13"/>
      <c r="AD50" s="15" t="str">
        <f t="shared" si="2"/>
        <v/>
      </c>
      <c r="AE50" s="15" t="str">
        <f t="shared" si="3"/>
        <v/>
      </c>
      <c r="AF50" s="15" t="str">
        <f>IF(OR(V50="",Seeds!$C$8=""),"",V50-Seeds!$C$8)</f>
        <v/>
      </c>
      <c r="AG50" s="15" t="str">
        <f>IF(OR(AF50="",Seeds!$C$10=""),"",IF(ABS(AF50)&gt;Seeds!$C$10,"Có","Không"))</f>
        <v/>
      </c>
    </row>
    <row r="51" spans="1:33" ht="15" customHeight="1" x14ac:dyDescent="0.4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4"/>
      <c r="Q51" s="14"/>
      <c r="R51" s="13"/>
      <c r="S51" s="14"/>
      <c r="T51" s="14"/>
      <c r="U51" s="14"/>
      <c r="V51" s="14"/>
      <c r="W51" s="13"/>
      <c r="X51" s="13"/>
      <c r="Y51" s="13"/>
      <c r="Z51" s="14"/>
      <c r="AA51" s="14"/>
      <c r="AB51" s="13"/>
      <c r="AC51" s="13"/>
      <c r="AD51" s="15" t="str">
        <f t="shared" si="2"/>
        <v/>
      </c>
      <c r="AE51" s="15" t="str">
        <f t="shared" si="3"/>
        <v/>
      </c>
      <c r="AF51" s="15" t="str">
        <f>IF(OR(V51="",Seeds!$C$8=""),"",V51-Seeds!$C$8)</f>
        <v/>
      </c>
      <c r="AG51" s="15" t="str">
        <f>IF(OR(AF51="",Seeds!$C$10=""),"",IF(ABS(AF51)&gt;Seeds!$C$10,"Có","Không"))</f>
        <v/>
      </c>
    </row>
    <row r="52" spans="1:33" ht="15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  <c r="Q52" s="14"/>
      <c r="R52" s="13"/>
      <c r="S52" s="14"/>
      <c r="T52" s="14"/>
      <c r="U52" s="14"/>
      <c r="V52" s="14"/>
      <c r="W52" s="13"/>
      <c r="X52" s="13"/>
      <c r="Y52" s="13"/>
      <c r="Z52" s="14"/>
      <c r="AA52" s="14"/>
      <c r="AB52" s="13"/>
      <c r="AC52" s="13"/>
      <c r="AD52" s="15" t="str">
        <f t="shared" si="2"/>
        <v/>
      </c>
      <c r="AE52" s="15" t="str">
        <f t="shared" si="3"/>
        <v/>
      </c>
      <c r="AF52" s="15" t="str">
        <f>IF(OR(V52="",Seeds!$C$8=""),"",V52-Seeds!$C$8)</f>
        <v/>
      </c>
      <c r="AG52" s="15" t="str">
        <f>IF(OR(AF52="",Seeds!$C$10=""),"",IF(ABS(AF52)&gt;Seeds!$C$10,"Có","Không"))</f>
        <v/>
      </c>
    </row>
    <row r="53" spans="1:33" ht="15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4"/>
      <c r="Q53" s="14"/>
      <c r="R53" s="13"/>
      <c r="S53" s="14"/>
      <c r="T53" s="14"/>
      <c r="U53" s="14"/>
      <c r="V53" s="14"/>
      <c r="W53" s="13"/>
      <c r="X53" s="13"/>
      <c r="Y53" s="13"/>
      <c r="Z53" s="14"/>
      <c r="AA53" s="14"/>
      <c r="AB53" s="13"/>
      <c r="AC53" s="13"/>
      <c r="AD53" s="15" t="str">
        <f t="shared" si="2"/>
        <v/>
      </c>
      <c r="AE53" s="15" t="str">
        <f t="shared" si="3"/>
        <v/>
      </c>
      <c r="AF53" s="15" t="str">
        <f>IF(OR(V53="",Seeds!$C$8=""),"",V53-Seeds!$C$8)</f>
        <v/>
      </c>
      <c r="AG53" s="15" t="str">
        <f>IF(OR(AF53="",Seeds!$C$10=""),"",IF(ABS(AF53)&gt;Seeds!$C$10,"Có","Không"))</f>
        <v/>
      </c>
    </row>
    <row r="54" spans="1:33" ht="15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  <c r="Q54" s="14"/>
      <c r="R54" s="13"/>
      <c r="S54" s="14"/>
      <c r="T54" s="14"/>
      <c r="U54" s="14"/>
      <c r="V54" s="14"/>
      <c r="W54" s="13"/>
      <c r="X54" s="13"/>
      <c r="Y54" s="13"/>
      <c r="Z54" s="14"/>
      <c r="AA54" s="14"/>
      <c r="AB54" s="13"/>
      <c r="AC54" s="13"/>
      <c r="AD54" s="15" t="str">
        <f t="shared" si="2"/>
        <v/>
      </c>
      <c r="AE54" s="15" t="str">
        <f t="shared" si="3"/>
        <v/>
      </c>
      <c r="AF54" s="15" t="str">
        <f>IF(OR(V54="",Seeds!$C$8=""),"",V54-Seeds!$C$8)</f>
        <v/>
      </c>
      <c r="AG54" s="15" t="str">
        <f>IF(OR(AF54="",Seeds!$C$10=""),"",IF(ABS(AF54)&gt;Seeds!$C$10,"Có","Không"))</f>
        <v/>
      </c>
    </row>
    <row r="55" spans="1:33" ht="15" customHeight="1" x14ac:dyDescent="0.4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  <c r="Q55" s="14"/>
      <c r="R55" s="13"/>
      <c r="S55" s="14"/>
      <c r="T55" s="14"/>
      <c r="U55" s="14"/>
      <c r="V55" s="14"/>
      <c r="W55" s="13"/>
      <c r="X55" s="13"/>
      <c r="Y55" s="13"/>
      <c r="Z55" s="14"/>
      <c r="AA55" s="14"/>
      <c r="AB55" s="13"/>
      <c r="AC55" s="13"/>
      <c r="AD55" s="15" t="str">
        <f t="shared" si="2"/>
        <v/>
      </c>
      <c r="AE55" s="15" t="str">
        <f t="shared" si="3"/>
        <v/>
      </c>
      <c r="AF55" s="15" t="str">
        <f>IF(OR(V55="",Seeds!$C$8=""),"",V55-Seeds!$C$8)</f>
        <v/>
      </c>
      <c r="AG55" s="15" t="str">
        <f>IF(OR(AF55="",Seeds!$C$10=""),"",IF(ABS(AF55)&gt;Seeds!$C$10,"Có","Không"))</f>
        <v/>
      </c>
    </row>
    <row r="56" spans="1:33" ht="15" customHeight="1" x14ac:dyDescent="0.4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4"/>
      <c r="Q56" s="14"/>
      <c r="R56" s="13"/>
      <c r="S56" s="14"/>
      <c r="T56" s="14"/>
      <c r="U56" s="14"/>
      <c r="V56" s="14"/>
      <c r="W56" s="13"/>
      <c r="X56" s="13"/>
      <c r="Y56" s="13"/>
      <c r="Z56" s="14"/>
      <c r="AA56" s="14"/>
      <c r="AB56" s="13"/>
      <c r="AC56" s="13"/>
      <c r="AD56" s="15" t="str">
        <f t="shared" si="2"/>
        <v/>
      </c>
      <c r="AE56" s="15" t="str">
        <f t="shared" si="3"/>
        <v/>
      </c>
      <c r="AF56" s="15" t="str">
        <f>IF(OR(V56="",Seeds!$C$8=""),"",V56-Seeds!$C$8)</f>
        <v/>
      </c>
      <c r="AG56" s="15" t="str">
        <f>IF(OR(AF56="",Seeds!$C$10=""),"",IF(ABS(AF56)&gt;Seeds!$C$10,"Có","Không"))</f>
        <v/>
      </c>
    </row>
    <row r="57" spans="1:33" ht="15" customHeight="1" x14ac:dyDescent="0.4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4"/>
      <c r="Q57" s="14"/>
      <c r="R57" s="13"/>
      <c r="S57" s="14"/>
      <c r="T57" s="14"/>
      <c r="U57" s="14"/>
      <c r="V57" s="14"/>
      <c r="W57" s="13"/>
      <c r="X57" s="13"/>
      <c r="Y57" s="13"/>
      <c r="Z57" s="14"/>
      <c r="AA57" s="14"/>
      <c r="AB57" s="13"/>
      <c r="AC57" s="13"/>
      <c r="AD57" s="15" t="str">
        <f t="shared" si="2"/>
        <v/>
      </c>
      <c r="AE57" s="15" t="str">
        <f t="shared" si="3"/>
        <v/>
      </c>
      <c r="AF57" s="15" t="str">
        <f>IF(OR(V57="",Seeds!$C$8=""),"",V57-Seeds!$C$8)</f>
        <v/>
      </c>
      <c r="AG57" s="15" t="str">
        <f>IF(OR(AF57="",Seeds!$C$10=""),"",IF(ABS(AF57)&gt;Seeds!$C$10,"Có","Không"))</f>
        <v/>
      </c>
    </row>
    <row r="58" spans="1:33" ht="15" customHeight="1" x14ac:dyDescent="0.4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4"/>
      <c r="Q58" s="14"/>
      <c r="R58" s="13"/>
      <c r="S58" s="14"/>
      <c r="T58" s="14"/>
      <c r="U58" s="14"/>
      <c r="V58" s="14"/>
      <c r="W58" s="13"/>
      <c r="X58" s="13"/>
      <c r="Y58" s="13"/>
      <c r="Z58" s="14"/>
      <c r="AA58" s="14"/>
      <c r="AB58" s="13"/>
      <c r="AC58" s="13"/>
      <c r="AD58" s="15" t="str">
        <f t="shared" si="2"/>
        <v/>
      </c>
      <c r="AE58" s="15" t="str">
        <f t="shared" si="3"/>
        <v/>
      </c>
      <c r="AF58" s="15" t="str">
        <f>IF(OR(V58="",Seeds!$C$8=""),"",V58-Seeds!$C$8)</f>
        <v/>
      </c>
      <c r="AG58" s="15" t="str">
        <f>IF(OR(AF58="",Seeds!$C$10=""),"",IF(ABS(AF58)&gt;Seeds!$C$10,"Có","Không"))</f>
        <v/>
      </c>
    </row>
    <row r="59" spans="1:33" ht="15" customHeight="1" x14ac:dyDescent="0.4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4"/>
      <c r="Q59" s="14"/>
      <c r="R59" s="13"/>
      <c r="S59" s="14"/>
      <c r="T59" s="14"/>
      <c r="U59" s="14"/>
      <c r="V59" s="14"/>
      <c r="W59" s="13"/>
      <c r="X59" s="13"/>
      <c r="Y59" s="13"/>
      <c r="Z59" s="14"/>
      <c r="AA59" s="14"/>
      <c r="AB59" s="13"/>
      <c r="AC59" s="13"/>
      <c r="AD59" s="15" t="str">
        <f t="shared" si="2"/>
        <v/>
      </c>
      <c r="AE59" s="15" t="str">
        <f t="shared" si="3"/>
        <v/>
      </c>
      <c r="AF59" s="15" t="str">
        <f>IF(OR(V59="",Seeds!$C$8=""),"",V59-Seeds!$C$8)</f>
        <v/>
      </c>
      <c r="AG59" s="15" t="str">
        <f>IF(OR(AF59="",Seeds!$C$10=""),"",IF(ABS(AF59)&gt;Seeds!$C$10,"Có","Không"))</f>
        <v/>
      </c>
    </row>
    <row r="60" spans="1:33" ht="15" customHeight="1" x14ac:dyDescent="0.4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4"/>
      <c r="Q60" s="14"/>
      <c r="R60" s="13"/>
      <c r="S60" s="14"/>
      <c r="T60" s="14"/>
      <c r="U60" s="14"/>
      <c r="V60" s="14"/>
      <c r="W60" s="13"/>
      <c r="X60" s="13"/>
      <c r="Y60" s="13"/>
      <c r="Z60" s="14"/>
      <c r="AA60" s="14"/>
      <c r="AB60" s="13"/>
      <c r="AC60" s="13"/>
      <c r="AD60" s="15" t="str">
        <f t="shared" si="2"/>
        <v/>
      </c>
      <c r="AE60" s="15" t="str">
        <f t="shared" si="3"/>
        <v/>
      </c>
      <c r="AF60" s="15" t="str">
        <f>IF(OR(V60="",Seeds!$C$8=""),"",V60-Seeds!$C$8)</f>
        <v/>
      </c>
      <c r="AG60" s="15" t="str">
        <f>IF(OR(AF60="",Seeds!$C$10=""),"",IF(ABS(AF60)&gt;Seeds!$C$10,"Có","Không"))</f>
        <v/>
      </c>
    </row>
    <row r="61" spans="1:33" ht="15" customHeight="1" x14ac:dyDescent="0.4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4"/>
      <c r="Q61" s="14"/>
      <c r="R61" s="13"/>
      <c r="S61" s="14"/>
      <c r="T61" s="14"/>
      <c r="U61" s="14"/>
      <c r="V61" s="14"/>
      <c r="W61" s="13"/>
      <c r="X61" s="13"/>
      <c r="Y61" s="13"/>
      <c r="Z61" s="14"/>
      <c r="AA61" s="14"/>
      <c r="AB61" s="13"/>
      <c r="AC61" s="13"/>
      <c r="AD61" s="15" t="str">
        <f t="shared" si="2"/>
        <v/>
      </c>
      <c r="AE61" s="15" t="str">
        <f t="shared" si="3"/>
        <v/>
      </c>
      <c r="AF61" s="15" t="str">
        <f>IF(OR(V61="",Seeds!$C$8=""),"",V61-Seeds!$C$8)</f>
        <v/>
      </c>
      <c r="AG61" s="15" t="str">
        <f>IF(OR(AF61="",Seeds!$C$10=""),"",IF(ABS(AF61)&gt;Seeds!$C$10,"Có","Không"))</f>
        <v/>
      </c>
    </row>
  </sheetData>
  <autoFilter ref="A1:AG61" xr:uid="{00000000-0009-0000-0000-000001000000}"/>
  <dataValidations count="6">
    <dataValidation type="list" allowBlank="1" sqref="B2:B61" xr:uid="{00000000-0002-0000-0100-000000000000}">
      <formula1>"baseline,loss,optimizer,hparam,dropout,clipping,amp,init,final,other"</formula1>
      <formula2>0</formula2>
    </dataValidation>
    <dataValidation type="list" allowBlank="1" sqref="D2:D61" xr:uid="{00000000-0002-0000-0100-000001000000}">
      <formula1>"CE,MSE"</formula1>
      <formula2>0</formula2>
    </dataValidation>
    <dataValidation type="list" allowBlank="1" sqref="E2:E61" xr:uid="{00000000-0002-0000-0100-000002000000}">
      <formula1>"SGD,SGD+momentum,Adam,AdamW"</formula1>
      <formula2>0</formula2>
    </dataValidation>
    <dataValidation type="list" allowBlank="1" sqref="M2:M61" xr:uid="{00000000-0002-0000-0100-000003000000}">
      <formula1>"fp32,fp16,bf16"</formula1>
      <formula2>0</formula2>
    </dataValidation>
    <dataValidation type="list" allowBlank="1" sqref="N2:N61" xr:uid="{00000000-0002-0000-0100-000004000000}">
      <formula1>"zeros,normal,xavier,he,default"</formula1>
      <formula2>0</formula2>
    </dataValidation>
    <dataValidation type="list" allowBlank="1" sqref="Y2:Y61" xr:uid="{00000000-0002-0000-0100-000005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/>
  </sheetViews>
  <sheetFormatPr defaultColWidth="8.6640625" defaultRowHeight="14.25" x14ac:dyDescent="0.45"/>
  <cols>
    <col min="1" max="1" width="26" customWidth="1"/>
    <col min="2" max="4" width="16" customWidth="1"/>
  </cols>
  <sheetData>
    <row r="1" spans="1:4" ht="30" customHeight="1" x14ac:dyDescent="0.45">
      <c r="A1" s="7" t="s">
        <v>278</v>
      </c>
      <c r="B1" s="7" t="s">
        <v>70</v>
      </c>
      <c r="C1" s="7" t="s">
        <v>73</v>
      </c>
      <c r="D1" s="7" t="s">
        <v>61</v>
      </c>
    </row>
    <row r="2" spans="1:4" ht="15" customHeight="1" x14ac:dyDescent="0.45">
      <c r="A2" s="12" t="s">
        <v>113</v>
      </c>
      <c r="B2" s="15">
        <f>IF($A2="","",IFERROR(IF(INDEX(Experiments!$U$2:$U$61,MATCH($A2,Experiments!$A$2:$A$61,0))="","",INDEX(Experiments!$U$2:$U$61,MATCH($A2,Experiments!$A$2:$A$61,0))),""))</f>
        <v>0.90900000000000003</v>
      </c>
      <c r="C2" s="15">
        <f>IF($A2="","",IFERROR(IF(INDEX(Experiments!$V$2:$V$61,MATCH($A2,Experiments!$A$2:$A$61,0))="","",INDEX(Experiments!$V$2:$V$61,MATCH($A2,Experiments!$A$2:$A$61,0))),""))</f>
        <v>0.85729999999999995</v>
      </c>
      <c r="D2" s="15">
        <f>IF($A2="","",IFERROR(IF(INDEX(Experiments!$Q$2:$Q$61,MATCH($A2,Experiments!$A$2:$A$61,0))="","",INDEX(Experiments!$Q$2:$Q$61,MATCH($A2,Experiments!$A$2:$A$61,0))),""))</f>
        <v>0.23180000000000001</v>
      </c>
    </row>
    <row r="3" spans="1:4" ht="15" customHeight="1" x14ac:dyDescent="0.45">
      <c r="A3" s="12" t="s">
        <v>123</v>
      </c>
      <c r="B3" s="15">
        <f>IF($A3="","",IFERROR(IF(INDEX(Experiments!$U$2:$U$61,MATCH($A3,Experiments!$A$2:$A$61,0))="","",INDEX(Experiments!$U$2:$U$61,MATCH($A3,Experiments!$A$2:$A$61,0))),""))</f>
        <v>0.91439999999999999</v>
      </c>
      <c r="C3" s="15">
        <f>IF($A3="","",IFERROR(IF(INDEX(Experiments!$V$2:$V$61,MATCH($A3,Experiments!$A$2:$A$61,0))="","",INDEX(Experiments!$V$2:$V$61,MATCH($A3,Experiments!$A$2:$A$61,0))),""))</f>
        <v>0.86180000000000001</v>
      </c>
      <c r="D3" s="15">
        <f>IF($A3="","",IFERROR(IF(INDEX(Experiments!$Q$2:$Q$61,MATCH($A3,Experiments!$A$2:$A$61,0))="","",INDEX(Experiments!$Q$2:$Q$61,MATCH($A3,Experiments!$A$2:$A$61,0))),""))</f>
        <v>0.2145</v>
      </c>
    </row>
    <row r="4" spans="1:4" ht="15" customHeight="1" x14ac:dyDescent="0.45">
      <c r="A4" s="12" t="s">
        <v>126</v>
      </c>
      <c r="B4" s="15">
        <f>IF($A4="","",IFERROR(IF(INDEX(Experiments!$U$2:$U$61,MATCH($A4,Experiments!$A$2:$A$61,0))="","",INDEX(Experiments!$U$2:$U$61,MATCH($A4,Experiments!$A$2:$A$61,0))),""))</f>
        <v>0.91210000000000002</v>
      </c>
      <c r="C4" s="15">
        <f>IF($A4="","",IFERROR(IF(INDEX(Experiments!$V$2:$V$61,MATCH($A4,Experiments!$A$2:$A$61,0))="","",INDEX(Experiments!$V$2:$V$61,MATCH($A4,Experiments!$A$2:$A$61,0))),""))</f>
        <v>0.86299999999999999</v>
      </c>
      <c r="D4" s="15">
        <f>IF($A4="","",IFERROR(IF(INDEX(Experiments!$Q$2:$Q$61,MATCH($A4,Experiments!$A$2:$A$61,0))="","",INDEX(Experiments!$Q$2:$Q$61,MATCH($A4,Experiments!$A$2:$A$61,0))),""))</f>
        <v>0.2208</v>
      </c>
    </row>
    <row r="5" spans="1:4" ht="15" customHeight="1" x14ac:dyDescent="0.45">
      <c r="A5" s="13"/>
      <c r="B5" s="15" t="str">
        <f>IF($A5="","",IFERROR(IF(INDEX(Experiments!$U$2:$U$61,MATCH($A5,Experiments!$A$2:$A$61,0))="","",INDEX(Experiments!$U$2:$U$61,MATCH($A5,Experiments!$A$2:$A$61,0))),""))</f>
        <v/>
      </c>
      <c r="C5" s="15" t="str">
        <f>IF($A5="","",IFERROR(IF(INDEX(Experiments!$V$2:$V$61,MATCH($A5,Experiments!$A$2:$A$61,0))="","",INDEX(Experiments!$V$2:$V$61,MATCH($A5,Experiments!$A$2:$A$61,0))),""))</f>
        <v/>
      </c>
      <c r="D5" s="15" t="str">
        <f>IF($A5="","",IFERROR(IF(INDEX(Experiments!$Q$2:$Q$61,MATCH($A5,Experiments!$A$2:$A$61,0))="","",INDEX(Experiments!$Q$2:$Q$61,MATCH($A5,Experiments!$A$2:$A$61,0))),""))</f>
        <v/>
      </c>
    </row>
    <row r="6" spans="1:4" ht="15" customHeight="1" x14ac:dyDescent="0.45">
      <c r="A6" s="13"/>
      <c r="B6" s="15" t="str">
        <f>IF($A6="","",IFERROR(IF(INDEX(Experiments!$U$2:$U$61,MATCH($A6,Experiments!$A$2:$A$61,0))="","",INDEX(Experiments!$U$2:$U$61,MATCH($A6,Experiments!$A$2:$A$61,0))),""))</f>
        <v/>
      </c>
      <c r="C6" s="15" t="str">
        <f>IF($A6="","",IFERROR(IF(INDEX(Experiments!$V$2:$V$61,MATCH($A6,Experiments!$A$2:$A$61,0))="","",INDEX(Experiments!$V$2:$V$61,MATCH($A6,Experiments!$A$2:$A$61,0))),""))</f>
        <v/>
      </c>
      <c r="D6" s="15" t="str">
        <f>IF($A6="","",IFERROR(IF(INDEX(Experiments!$Q$2:$Q$61,MATCH($A6,Experiments!$A$2:$A$61,0))="","",INDEX(Experiments!$Q$2:$Q$61,MATCH($A6,Experiments!$A$2:$A$61,0))),""))</f>
        <v/>
      </c>
    </row>
    <row r="8" spans="1:4" ht="15" customHeight="1" x14ac:dyDescent="0.45">
      <c r="A8" s="16" t="s">
        <v>279</v>
      </c>
      <c r="B8" s="15">
        <f>IF(COUNT(B2:B6)=0,"",AVERAGE(B2:B6))</f>
        <v>0.91183333333333338</v>
      </c>
      <c r="C8" s="15">
        <f>IF(COUNT(C2:C6)=0,"",AVERAGE(C2:C6))</f>
        <v>0.86070000000000002</v>
      </c>
      <c r="D8" s="15">
        <f>IF(COUNT(D2:D6)=0,"",AVERAGE(D2:D6))</f>
        <v>0.22236666666666668</v>
      </c>
    </row>
    <row r="9" spans="1:4" ht="15" customHeight="1" x14ac:dyDescent="0.45">
      <c r="A9" s="16" t="s">
        <v>280</v>
      </c>
      <c r="B9" s="15">
        <f>IF(COUNT(B2:B6)&lt;2,"",STDEV(B2:B6))</f>
        <v>2.7098585448936683E-3</v>
      </c>
      <c r="C9" s="15">
        <f>IF(COUNT(C2:C6)&lt;2,"",STDEV(C2:C6))</f>
        <v>3.0049958402633696E-3</v>
      </c>
      <c r="D9" s="15">
        <f>IF(COUNT(D2:D6)&lt;2,"",STDEV(D2:D6))</f>
        <v>8.7557600088931983E-3</v>
      </c>
    </row>
    <row r="10" spans="1:4" ht="15" customHeight="1" x14ac:dyDescent="0.45">
      <c r="A10" s="16" t="s">
        <v>281</v>
      </c>
      <c r="B10" s="15">
        <f>IF(B9="","",2*B9)</f>
        <v>5.4197170897873365E-3</v>
      </c>
      <c r="C10" s="15">
        <f>IF(C9="","",2*C9)</f>
        <v>6.0099916805267392E-3</v>
      </c>
      <c r="D10" s="15">
        <f>IF(D9="","",2*D9)</f>
        <v>1.7511520017786397E-2</v>
      </c>
    </row>
    <row r="12" spans="1:4" ht="15" customHeight="1" x14ac:dyDescent="0.45">
      <c r="A12" s="2" t="s">
        <v>282</v>
      </c>
    </row>
    <row r="13" spans="1:4" ht="15" customHeight="1" x14ac:dyDescent="0.45">
      <c r="A13" s="2" t="s">
        <v>283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zoomScaleNormal="100" workbookViewId="0"/>
  </sheetViews>
  <sheetFormatPr defaultColWidth="8.6640625" defaultRowHeight="14.25" x14ac:dyDescent="0.45"/>
  <cols>
    <col min="1" max="1" width="12" customWidth="1"/>
    <col min="2" max="2" width="10" customWidth="1"/>
    <col min="3" max="5" width="16" customWidth="1"/>
    <col min="6" max="6" width="14" customWidth="1"/>
    <col min="7" max="7" width="16" customWidth="1"/>
    <col min="8" max="8" width="50" customWidth="1"/>
  </cols>
  <sheetData>
    <row r="1" spans="1:8" ht="31.5" customHeight="1" x14ac:dyDescent="0.45">
      <c r="A1" s="7" t="s">
        <v>21</v>
      </c>
      <c r="B1" s="7" t="s">
        <v>284</v>
      </c>
      <c r="C1" s="7" t="s">
        <v>285</v>
      </c>
      <c r="D1" s="7" t="s">
        <v>286</v>
      </c>
      <c r="E1" s="7" t="s">
        <v>287</v>
      </c>
      <c r="F1" s="7" t="s">
        <v>288</v>
      </c>
      <c r="G1" s="7" t="s">
        <v>289</v>
      </c>
      <c r="H1" s="7" t="s">
        <v>290</v>
      </c>
    </row>
    <row r="2" spans="1:8" ht="15" customHeight="1" x14ac:dyDescent="0.45">
      <c r="A2" s="11" t="s">
        <v>114</v>
      </c>
      <c r="B2" s="17">
        <f>COUNTIF(Experiments!$B$2:$B$61,A2)</f>
        <v>3</v>
      </c>
      <c r="C2" s="17">
        <f>COUNTIFS(Experiments!$B$2:$B$61,A2,Experiments!$V$2:$V$61,"&lt;&gt;")</f>
        <v>3</v>
      </c>
      <c r="D2" s="15">
        <f>IF(C2=0,"",_xlfn.MAXIFS(Experiments!$V$2:$V$61,Experiments!$B$2:$B$61,A2))</f>
        <v>0.86299999999999999</v>
      </c>
      <c r="E2" s="15">
        <f>IF(C2=0,"",_xlfn.MINIFS(Experiments!$V$2:$V$61,Experiments!$B$2:$B$61,A2))</f>
        <v>0.85729999999999995</v>
      </c>
      <c r="F2" s="15">
        <f>IF(C2=0,"",_xlfn.MAXIFS(Experiments!$U$2:$U$61,Experiments!$B$2:$B$61,A2))</f>
        <v>0.91439999999999999</v>
      </c>
      <c r="G2" s="17" t="s">
        <v>291</v>
      </c>
      <c r="H2" s="18" t="s">
        <v>292</v>
      </c>
    </row>
    <row r="3" spans="1:8" ht="15" customHeight="1" x14ac:dyDescent="0.45">
      <c r="A3" s="11" t="s">
        <v>27</v>
      </c>
      <c r="B3" s="17">
        <f>COUNTIF(Experiments!$B$2:$B$61,A3)</f>
        <v>2</v>
      </c>
      <c r="C3" s="17">
        <f>COUNTIFS(Experiments!$B$2:$B$61,A3,Experiments!$V$2:$V$61,"&lt;&gt;")</f>
        <v>2</v>
      </c>
      <c r="D3" s="15">
        <f>IF(C3=0,"",_xlfn.MAXIFS(Experiments!$V$2:$V$61,Experiments!$B$2:$B$61,A3))</f>
        <v>0.77259999999999995</v>
      </c>
      <c r="E3" s="15">
        <f>IF(C3=0,"",_xlfn.MINIFS(Experiments!$V$2:$V$61,Experiments!$B$2:$B$61,A3))</f>
        <v>0.74850000000000005</v>
      </c>
      <c r="F3" s="15">
        <f>IF(C3=0,"",_xlfn.MAXIFS(Experiments!$U$2:$U$61,Experiments!$B$2:$B$61,A3))</f>
        <v>0.88029999999999997</v>
      </c>
      <c r="G3" s="17" t="str">
        <f t="shared" ref="G3:G9" si="0">IF(C3&gt;0,"Có","Chưa")</f>
        <v>Có</v>
      </c>
      <c r="H3" s="18" t="s">
        <v>293</v>
      </c>
    </row>
    <row r="4" spans="1:8" ht="15" customHeight="1" x14ac:dyDescent="0.45">
      <c r="A4" s="11" t="s">
        <v>29</v>
      </c>
      <c r="B4" s="17">
        <f>COUNTIF(Experiments!$B$2:$B$61,A4)</f>
        <v>13</v>
      </c>
      <c r="C4" s="17">
        <f>COUNTIFS(Experiments!$B$2:$B$61,A4,Experiments!$V$2:$V$61,"&lt;&gt;")</f>
        <v>13</v>
      </c>
      <c r="D4" s="15">
        <f>IF(C4=0,"",_xlfn.MAXIFS(Experiments!$V$2:$V$61,Experiments!$B$2:$B$61,A4))</f>
        <v>0.86770000000000003</v>
      </c>
      <c r="E4" s="15">
        <f>IF(C4=0,"",_xlfn.MINIFS(Experiments!$V$2:$V$61,Experiments!$B$2:$B$61,A4))</f>
        <v>0.75509999999999999</v>
      </c>
      <c r="F4" s="15">
        <f>IF(C4=0,"",_xlfn.MAXIFS(Experiments!$U$2:$U$61,Experiments!$B$2:$B$61,A4))</f>
        <v>0.9153</v>
      </c>
      <c r="G4" s="17" t="str">
        <f t="shared" si="0"/>
        <v>Có</v>
      </c>
      <c r="H4" s="18" t="s">
        <v>294</v>
      </c>
    </row>
    <row r="5" spans="1:8" ht="15" customHeight="1" x14ac:dyDescent="0.45">
      <c r="A5" s="11" t="s">
        <v>181</v>
      </c>
      <c r="B5" s="17">
        <f>COUNTIF(Experiments!$B$2:$B$61,A5)</f>
        <v>6</v>
      </c>
      <c r="C5" s="17">
        <f>COUNTIFS(Experiments!$B$2:$B$61,A5,Experiments!$V$2:$V$61,"&lt;&gt;")</f>
        <v>6</v>
      </c>
      <c r="D5" s="15">
        <f>IF(C5=0,"",_xlfn.MAXIFS(Experiments!$V$2:$V$61,Experiments!$B$2:$B$61,A5))</f>
        <v>0.87470000000000003</v>
      </c>
      <c r="E5" s="15">
        <f>IF(C5=0,"",_xlfn.MINIFS(Experiments!$V$2:$V$61,Experiments!$B$2:$B$61,A5))</f>
        <v>9.3600000000000003E-2</v>
      </c>
      <c r="F5" s="15">
        <f>IF(C5=0,"",_xlfn.MAXIFS(Experiments!$U$2:$U$61,Experiments!$B$2:$B$61,A5))</f>
        <v>0.92259999999999998</v>
      </c>
      <c r="G5" s="17" t="str">
        <f t="shared" si="0"/>
        <v>Có</v>
      </c>
      <c r="H5" s="18" t="s">
        <v>295</v>
      </c>
    </row>
    <row r="6" spans="1:8" ht="15" customHeight="1" x14ac:dyDescent="0.45">
      <c r="A6" s="11" t="s">
        <v>46</v>
      </c>
      <c r="B6" s="17">
        <f>COUNTIF(Experiments!$B$2:$B$61,A6)</f>
        <v>3</v>
      </c>
      <c r="C6" s="17">
        <f>COUNTIFS(Experiments!$B$2:$B$61,A6,Experiments!$V$2:$V$61,"&lt;&gt;")</f>
        <v>3</v>
      </c>
      <c r="D6" s="15">
        <f>IF(C6=0,"",_xlfn.MAXIFS(Experiments!$V$2:$V$61,Experiments!$B$2:$B$61,A6))</f>
        <v>0.83850000000000002</v>
      </c>
      <c r="E6" s="15">
        <f>IF(C6=0,"",_xlfn.MINIFS(Experiments!$V$2:$V$61,Experiments!$B$2:$B$61,A6))</f>
        <v>0.57840000000000003</v>
      </c>
      <c r="F6" s="15">
        <f>IF(C6=0,"",_xlfn.MAXIFS(Experiments!$U$2:$U$61,Experiments!$B$2:$B$61,A6))</f>
        <v>0.90249999999999997</v>
      </c>
      <c r="G6" s="17" t="str">
        <f t="shared" si="0"/>
        <v>Có</v>
      </c>
      <c r="H6" s="18" t="s">
        <v>296</v>
      </c>
    </row>
    <row r="7" spans="1:8" ht="15" customHeight="1" x14ac:dyDescent="0.45">
      <c r="A7" s="11" t="s">
        <v>212</v>
      </c>
      <c r="B7" s="17">
        <f>COUNTIF(Experiments!$B$2:$B$61,A7)</f>
        <v>5</v>
      </c>
      <c r="C7" s="17">
        <f>COUNTIFS(Experiments!$B$2:$B$61,A7,Experiments!$V$2:$V$61,"&lt;&gt;")</f>
        <v>5</v>
      </c>
      <c r="D7" s="15">
        <f>IF(C7=0,"",_xlfn.MAXIFS(Experiments!$V$2:$V$61,Experiments!$B$2:$B$61,A7))</f>
        <v>0.85809999999999997</v>
      </c>
      <c r="E7" s="15">
        <f>IF(C7=0,"",_xlfn.MINIFS(Experiments!$V$2:$V$61,Experiments!$B$2:$B$61,A7))</f>
        <v>9.3600000000000003E-2</v>
      </c>
      <c r="F7" s="15">
        <f>IF(C7=0,"",_xlfn.MAXIFS(Experiments!$U$2:$U$61,Experiments!$B$2:$B$61,A7))</f>
        <v>0.90890000000000004</v>
      </c>
      <c r="G7" s="17" t="str">
        <f t="shared" si="0"/>
        <v>Có</v>
      </c>
      <c r="H7" s="18" t="s">
        <v>297</v>
      </c>
    </row>
    <row r="8" spans="1:8" ht="15" customHeight="1" x14ac:dyDescent="0.45">
      <c r="A8" s="11" t="s">
        <v>230</v>
      </c>
      <c r="B8" s="17">
        <f>COUNTIF(Experiments!$B$2:$B$61,A8)</f>
        <v>3</v>
      </c>
      <c r="C8" s="17">
        <f>COUNTIFS(Experiments!$B$2:$B$61,A8,Experiments!$V$2:$V$61,"&lt;&gt;")</f>
        <v>3</v>
      </c>
      <c r="D8" s="15">
        <f>IF(C8=0,"",_xlfn.MAXIFS(Experiments!$V$2:$V$61,Experiments!$B$2:$B$61,A8))</f>
        <v>0.87450000000000006</v>
      </c>
      <c r="E8" s="15">
        <f>IF(C8=0,"",_xlfn.MINIFS(Experiments!$V$2:$V$61,Experiments!$B$2:$B$61,A8))</f>
        <v>0.85199999999999998</v>
      </c>
      <c r="F8" s="15">
        <f>IF(C8=0,"",_xlfn.MAXIFS(Experiments!$U$2:$U$61,Experiments!$B$2:$B$61,A8))</f>
        <v>0.92469999999999997</v>
      </c>
      <c r="G8" s="17" t="str">
        <f t="shared" si="0"/>
        <v>Có</v>
      </c>
      <c r="H8" s="18" t="s">
        <v>298</v>
      </c>
    </row>
    <row r="9" spans="1:8" ht="15" customHeight="1" x14ac:dyDescent="0.45">
      <c r="A9" s="11" t="s">
        <v>53</v>
      </c>
      <c r="B9" s="17">
        <f>COUNTIF(Experiments!$B$2:$B$61,A9)</f>
        <v>4</v>
      </c>
      <c r="C9" s="17">
        <f>COUNTIFS(Experiments!$B$2:$B$61,A9,Experiments!$V$2:$V$61,"&lt;&gt;")</f>
        <v>4</v>
      </c>
      <c r="D9" s="15">
        <f>IF(C9=0,"",_xlfn.MAXIFS(Experiments!$V$2:$V$61,Experiments!$B$2:$B$61,A9))</f>
        <v>0.86370000000000002</v>
      </c>
      <c r="E9" s="15">
        <f>IF(C9=0,"",_xlfn.MINIFS(Experiments!$V$2:$V$61,Experiments!$B$2:$B$61,A9))</f>
        <v>9.3600000000000003E-2</v>
      </c>
      <c r="F9" s="15">
        <f>IF(C9=0,"",_xlfn.MAXIFS(Experiments!$U$2:$U$61,Experiments!$B$2:$B$61,A9))</f>
        <v>0.91449999999999998</v>
      </c>
      <c r="G9" s="17" t="str">
        <f t="shared" si="0"/>
        <v>Có</v>
      </c>
      <c r="H9" s="18" t="s">
        <v>299</v>
      </c>
    </row>
    <row r="10" spans="1:8" ht="15" customHeight="1" x14ac:dyDescent="0.45">
      <c r="A10" s="11" t="s">
        <v>260</v>
      </c>
      <c r="B10" s="17">
        <f>COUNTIF(Experiments!$B$2:$B$61,A10)</f>
        <v>5</v>
      </c>
      <c r="C10" s="17">
        <f>COUNTIFS(Experiments!$B$2:$B$61,A10,Experiments!$V$2:$V$61,"&lt;&gt;")</f>
        <v>5</v>
      </c>
      <c r="D10" s="15">
        <f>IF(C10=0,"",_xlfn.MAXIFS(Experiments!$V$2:$V$61,Experiments!$B$2:$B$61,A10))</f>
        <v>0.92720000000000002</v>
      </c>
      <c r="E10" s="15">
        <f>IF(C10=0,"",_xlfn.MINIFS(Experiments!$V$2:$V$61,Experiments!$B$2:$B$61,A10))</f>
        <v>0.89459999999999995</v>
      </c>
      <c r="F10" s="15">
        <f>IF(C10=0,"",_xlfn.MAXIFS(Experiments!$U$2:$U$61,Experiments!$B$2:$B$61,A10))</f>
        <v>0.95409999999999995</v>
      </c>
      <c r="G10" s="17" t="s">
        <v>291</v>
      </c>
      <c r="H10" s="18" t="s">
        <v>300</v>
      </c>
    </row>
    <row r="11" spans="1:8" ht="15" customHeight="1" x14ac:dyDescent="0.45">
      <c r="A11" s="11" t="s">
        <v>301</v>
      </c>
      <c r="B11" s="17">
        <f>COUNTIF(Experiments!$B$2:$B$61,A11)</f>
        <v>0</v>
      </c>
      <c r="C11" s="17">
        <f>COUNTIFS(Experiments!$B$2:$B$61,A11,Experiments!$V$2:$V$61,"&lt;&gt;")</f>
        <v>0</v>
      </c>
      <c r="D11" s="15" t="str">
        <f>IF(C11=0,"",_xlfn.MAXIFS(Experiments!$V$2:$V$61,Experiments!$B$2:$B$61,A11))</f>
        <v/>
      </c>
      <c r="E11" s="15" t="str">
        <f>IF(C11=0,"",_xlfn.MINIFS(Experiments!$V$2:$V$61,Experiments!$B$2:$B$61,A11))</f>
        <v/>
      </c>
      <c r="F11" s="15" t="str">
        <f>IF(C11=0,"",_xlfn.MAXIFS(Experiments!$U$2:$U$61,Experiments!$B$2:$B$61,A11))</f>
        <v/>
      </c>
      <c r="G11" s="17" t="s">
        <v>291</v>
      </c>
      <c r="H11" s="18"/>
    </row>
    <row r="13" spans="1:8" ht="15" customHeight="1" x14ac:dyDescent="0.45">
      <c r="A13" s="3" t="s">
        <v>302</v>
      </c>
      <c r="D13" s="3">
        <f>COUNTIF(G2:G11,"Có")</f>
        <v>7</v>
      </c>
    </row>
    <row r="14" spans="1:8" ht="15" customHeight="1" x14ac:dyDescent="0.45">
      <c r="A14" s="2" t="s">
        <v>303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Legend</vt:lpstr>
      <vt:lpstr>Experiments</vt:lpstr>
      <vt:lpstr>Seeds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Đức Dũng</cp:lastModifiedBy>
  <cp:revision>0</cp:revision>
  <dcterms:created xsi:type="dcterms:W3CDTF">2026-10-02T03:40:32Z</dcterms:created>
  <dcterms:modified xsi:type="dcterms:W3CDTF">2026-10-03T05:45:02Z</dcterms:modified>
  <dc:language>en-US</dc:language>
</cp:coreProperties>
</file>